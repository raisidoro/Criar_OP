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ate1904="1" showInkAnnotation="0" updateLinks="never" codeName="EstaPastaDeTrabalho"/>
  <mc:AlternateContent xmlns:mc="http://schemas.openxmlformats.org/markup-compatibility/2006">
    <mc:Choice Requires="x15">
      <x15ac:absPath xmlns:x15ac="http://schemas.microsoft.com/office/spreadsheetml/2010/11/ac" url="\\gdfssrv01\GDBR\ADMINISTRATION\IT\Desenvolvimento\apontamentosv3\"/>
    </mc:Choice>
  </mc:AlternateContent>
  <bookViews>
    <workbookView xWindow="5115" yWindow="3045" windowWidth="15375" windowHeight="7875" tabRatio="777" activeTab="1"/>
  </bookViews>
  <sheets>
    <sheet name="Cadastro" sheetId="73" r:id="rId1"/>
    <sheet name="Apontamentos" sheetId="72" r:id="rId2"/>
    <sheet name="Try Out" sheetId="75" r:id="rId3"/>
    <sheet name="CT" sheetId="76" r:id="rId4"/>
  </sheets>
  <definedNames>
    <definedName name="_xlnm._FilterDatabase" localSheetId="1" hidden="1">Apontamentos!$A$11:$BM$31</definedName>
    <definedName name="_xlnm._FilterDatabase" localSheetId="0" hidden="1">Cadastro!$B$2:$AX$1404</definedName>
    <definedName name="_xlnm._FilterDatabase" localSheetId="3" hidden="1">CT!$B$2:$E$482</definedName>
    <definedName name="_xlnm._FilterDatabase" localSheetId="2" hidden="1">'Try Out'!$B$2:$J$2</definedName>
    <definedName name="Abastecimento">OFFSET(Cadastro!$AX$2,1,,COUNTIF(Cadastro!$AX$3:$AX$39,"?*"))</definedName>
    <definedName name="Componentes">OFFSET(Cadastro!$AL$2,1,,COUNTIF(Cadastro!$AL$3:$AL$307,"?*"))</definedName>
    <definedName name="Componentes_Geral">Cadastro!$O$3:$O$499</definedName>
    <definedName name="FaltaDeAgua">OFFSET(Cadastro!$AS$2,1,,COUNTIF(Cadastro!$AS$3:$AS$39,"?*"))</definedName>
    <definedName name="Ferramentaria">OFFSET(Cadastro!$AT$2,1,,COUNTIF(Cadastro!$AT$3:$AT$39,"?*"))</definedName>
    <definedName name="Funcional">OFFSET(Cadastro!$AW$2,1,,COUNTIF(Cadastro!$AW$3:$AW$39,"?*"))</definedName>
    <definedName name="Kanban">OFFSET(Cadastro!$W$2,1,,COUNTIF(Cadastro!$W$3:$W$477,"?*"))</definedName>
    <definedName name="Kanban_Geral">Cadastro!$C$3:$C$484</definedName>
    <definedName name="Maquina">OFFSET(Cadastro!$Z$2,1,,COUNTIF(Cadastro!$Z$3:$Z$30,"?*"))</definedName>
    <definedName name="Maquina_1" comment="Sem retrabalho">OFFSET(Cadastro!$Z$2,1,,COUNTIF(Cadastro!$Z$3:$Z$30,"?*")-1)</definedName>
    <definedName name="MaquinasEEquipamentos">OFFSET(Cadastro!$AU$2,1,,COUNTIF(Cadastro!$AU$3:$AU$39,"?*"))</definedName>
    <definedName name="Operacional">OFFSET(Cadastro!$AV$2,1,,COUNTIF(Cadastro!$AV$3:$AV$39,"?*"))</definedName>
    <definedName name="QuedaDeEnergia">OFFSET(Cadastro!$AR$2,1,,COUNTIF(Cadastro!$AR$3:$AR$39,"?*"))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X16" i="72" l="1"/>
  <c r="BX15" i="72"/>
  <c r="I3" i="75" l="1"/>
  <c r="AB16" i="72" l="1"/>
  <c r="DA7" i="72"/>
  <c r="DA5" i="72"/>
  <c r="CD13" i="72" l="1"/>
  <c r="CD14" i="72"/>
  <c r="CD15" i="72"/>
  <c r="CD16" i="72"/>
  <c r="CD17" i="72"/>
  <c r="CD18" i="72"/>
  <c r="CD19" i="72"/>
  <c r="CD20" i="72"/>
  <c r="CD21" i="72"/>
  <c r="CD22" i="72"/>
  <c r="CD23" i="72"/>
  <c r="CD24" i="72"/>
  <c r="CD25" i="72"/>
  <c r="CD26" i="72"/>
  <c r="CD27" i="72"/>
  <c r="CD28" i="72"/>
  <c r="CD29" i="72"/>
  <c r="CD30" i="72"/>
  <c r="CD31" i="72"/>
  <c r="CD12" i="72"/>
  <c r="BM7" i="72" l="1"/>
  <c r="BP3" i="72"/>
  <c r="BF4" i="72" l="1"/>
  <c r="AZ6" i="72"/>
  <c r="AB12" i="72" l="1"/>
  <c r="P12" i="72"/>
  <c r="AC12" i="72" l="1"/>
  <c r="CG12" i="72"/>
  <c r="CG21" i="72"/>
  <c r="CG13" i="72"/>
  <c r="CG14" i="72"/>
  <c r="CG15" i="72"/>
  <c r="CG16" i="72"/>
  <c r="CG17" i="72"/>
  <c r="CG18" i="72"/>
  <c r="CG19" i="72"/>
  <c r="CG20" i="72"/>
  <c r="CG22" i="72"/>
  <c r="CG23" i="72"/>
  <c r="CG24" i="72"/>
  <c r="CG25" i="72"/>
  <c r="CG26" i="72"/>
  <c r="CG27" i="72"/>
  <c r="CG28" i="72"/>
  <c r="CG29" i="72"/>
  <c r="CG30" i="72"/>
  <c r="CG31" i="72"/>
  <c r="D7" i="72" l="1"/>
  <c r="N1" i="73" l="1"/>
  <c r="K1" i="73"/>
  <c r="H1" i="73"/>
  <c r="B1" i="73"/>
  <c r="E1" i="73"/>
  <c r="P13" i="72" l="1"/>
  <c r="P14" i="72"/>
  <c r="P15" i="72"/>
  <c r="P16" i="72"/>
  <c r="AC16" i="72" s="1"/>
  <c r="AF16" i="72" s="1"/>
  <c r="P17" i="72"/>
  <c r="P18" i="72"/>
  <c r="P19" i="72"/>
  <c r="P20" i="72"/>
  <c r="P21" i="72"/>
  <c r="P22" i="72"/>
  <c r="P23" i="72"/>
  <c r="P24" i="72"/>
  <c r="P25" i="72"/>
  <c r="P26" i="72"/>
  <c r="P27" i="72"/>
  <c r="P28" i="72"/>
  <c r="P29" i="72"/>
  <c r="P30" i="72"/>
  <c r="P31" i="72"/>
  <c r="AH2" i="73"/>
  <c r="AI7" i="73" s="1" a="1"/>
  <c r="AI7" i="73" s="1"/>
  <c r="J11" i="72" s="1"/>
  <c r="AE2" i="73"/>
  <c r="BF3" i="72" l="1"/>
  <c r="AI10" i="73" a="1"/>
  <c r="AI10" i="73" s="1"/>
  <c r="M11" i="72" s="1"/>
  <c r="AI6" i="73" a="1"/>
  <c r="AI6" i="73" s="1"/>
  <c r="I11" i="72" s="1"/>
  <c r="AI5" i="73" a="1"/>
  <c r="AI5" i="73" s="1"/>
  <c r="H11" i="72" s="1"/>
  <c r="AI12" i="73" a="1"/>
  <c r="AI12" i="73" s="1"/>
  <c r="O11" i="72" s="1"/>
  <c r="AI11" i="73" a="1"/>
  <c r="AI11" i="73" s="1"/>
  <c r="N11" i="72" s="1"/>
  <c r="AI9" i="73" a="1"/>
  <c r="AI9" i="73" s="1"/>
  <c r="L11" i="72" s="1"/>
  <c r="AI4" i="73" a="1"/>
  <c r="AI4" i="73" s="1"/>
  <c r="G11" i="72" s="1"/>
  <c r="AI3" i="73" a="1"/>
  <c r="AI3" i="73" s="1"/>
  <c r="F11" i="72" s="1"/>
  <c r="AI8" i="73" a="1"/>
  <c r="AI8" i="73" s="1"/>
  <c r="K11" i="72" s="1"/>
  <c r="AB21" i="72"/>
  <c r="AF21" i="72"/>
  <c r="BN21" i="72"/>
  <c r="BO21" i="72"/>
  <c r="BP21" i="72"/>
  <c r="BQ21" i="72"/>
  <c r="BS21" i="72"/>
  <c r="AB22" i="72"/>
  <c r="AC22" i="72" s="1"/>
  <c r="AF22" i="72" s="1"/>
  <c r="BN22" i="72"/>
  <c r="BO22" i="72"/>
  <c r="BP22" i="72"/>
  <c r="BQ22" i="72"/>
  <c r="BS22" i="72"/>
  <c r="AB23" i="72"/>
  <c r="AC23" i="72" s="1"/>
  <c r="AF23" i="72" s="1"/>
  <c r="BN23" i="72"/>
  <c r="BO23" i="72"/>
  <c r="BP23" i="72"/>
  <c r="BQ23" i="72"/>
  <c r="BS23" i="72"/>
  <c r="AB24" i="72"/>
  <c r="BN24" i="72"/>
  <c r="BO24" i="72"/>
  <c r="BP24" i="72"/>
  <c r="BQ24" i="72"/>
  <c r="BS24" i="72"/>
  <c r="AB25" i="72"/>
  <c r="BN25" i="72"/>
  <c r="BO25" i="72"/>
  <c r="BP25" i="72"/>
  <c r="BQ25" i="72"/>
  <c r="BS25" i="72"/>
  <c r="AB26" i="72"/>
  <c r="AC26" i="72" s="1"/>
  <c r="AF26" i="72" s="1"/>
  <c r="BN26" i="72"/>
  <c r="BO26" i="72"/>
  <c r="BP26" i="72"/>
  <c r="BQ26" i="72"/>
  <c r="BS26" i="72"/>
  <c r="AB27" i="72"/>
  <c r="AC27" i="72" s="1"/>
  <c r="AF27" i="72" s="1"/>
  <c r="BN27" i="72"/>
  <c r="BO27" i="72"/>
  <c r="BP27" i="72"/>
  <c r="BQ27" i="72"/>
  <c r="BS27" i="72"/>
  <c r="AB28" i="72"/>
  <c r="AC28" i="72" s="1"/>
  <c r="AF28" i="72"/>
  <c r="BN28" i="72"/>
  <c r="BO28" i="72"/>
  <c r="BP28" i="72"/>
  <c r="BQ28" i="72"/>
  <c r="BS28" i="72"/>
  <c r="AB29" i="72"/>
  <c r="AC29" i="72" s="1"/>
  <c r="AF29" i="72"/>
  <c r="BN29" i="72"/>
  <c r="BO29" i="72"/>
  <c r="BP29" i="72"/>
  <c r="BQ29" i="72"/>
  <c r="BR29" i="72"/>
  <c r="CE29" i="72" s="1"/>
  <c r="BS29" i="72"/>
  <c r="AB30" i="72"/>
  <c r="AF30" i="72"/>
  <c r="BN30" i="72"/>
  <c r="BO30" i="72"/>
  <c r="BP30" i="72"/>
  <c r="BQ30" i="72"/>
  <c r="BR30" i="72"/>
  <c r="CE30" i="72" s="1"/>
  <c r="BS30" i="72"/>
  <c r="AB31" i="72"/>
  <c r="AF31" i="72"/>
  <c r="BN31" i="72"/>
  <c r="BO31" i="72"/>
  <c r="BP31" i="72"/>
  <c r="BQ31" i="72"/>
  <c r="BR31" i="72"/>
  <c r="CE31" i="72" s="1"/>
  <c r="BS31" i="72"/>
  <c r="BR28" i="72" l="1"/>
  <c r="CE28" i="72" s="1"/>
  <c r="DA4" i="72"/>
  <c r="BR25" i="72"/>
  <c r="CE25" i="72" s="1"/>
  <c r="BR26" i="72"/>
  <c r="CE26" i="72" s="1"/>
  <c r="BR24" i="72"/>
  <c r="CE24" i="72" s="1"/>
  <c r="BR27" i="72"/>
  <c r="CE27" i="72" s="1"/>
  <c r="BR23" i="72"/>
  <c r="CE23" i="72" s="1"/>
  <c r="BR22" i="72"/>
  <c r="BR21" i="72"/>
  <c r="CE21" i="72" s="1"/>
  <c r="AC30" i="72"/>
  <c r="AC21" i="72"/>
  <c r="AC24" i="72"/>
  <c r="AF24" i="72" s="1"/>
  <c r="AC31" i="72"/>
  <c r="AC25" i="72"/>
  <c r="AF25" i="72" s="1"/>
  <c r="DA8" i="72" s="1"/>
  <c r="AX7" i="72" s="1"/>
  <c r="CE22" i="72" l="1"/>
  <c r="DA6" i="72" s="1"/>
  <c r="AX6" i="72" s="1"/>
  <c r="DA3" i="72"/>
  <c r="AX5" i="72" s="1"/>
  <c r="BX31" i="72"/>
  <c r="BX30" i="72"/>
  <c r="BX29" i="72"/>
  <c r="BX28" i="72"/>
  <c r="BX27" i="72"/>
  <c r="BX26" i="72"/>
  <c r="BX25" i="72"/>
  <c r="BX24" i="72"/>
  <c r="BX23" i="72"/>
  <c r="BX22" i="72"/>
  <c r="BX21" i="72"/>
  <c r="BX20" i="72"/>
  <c r="BX19" i="72"/>
  <c r="BX18" i="72"/>
  <c r="BX17" i="72"/>
  <c r="BX14" i="72"/>
  <c r="BX13" i="72"/>
  <c r="BX12" i="72"/>
  <c r="AX8" i="72" l="1"/>
  <c r="CJ8" i="72"/>
  <c r="R1" i="73" l="1"/>
  <c r="BS16" i="72" l="1"/>
  <c r="AF18" i="72"/>
  <c r="AF19" i="72"/>
  <c r="CA9" i="72"/>
  <c r="CA8" i="72"/>
  <c r="CA7" i="72"/>
  <c r="CA6" i="72"/>
  <c r="DF29" i="72"/>
  <c r="DE29" i="72"/>
  <c r="DD29" i="72"/>
  <c r="DC29" i="72"/>
  <c r="DB29" i="72"/>
  <c r="DA29" i="72"/>
  <c r="CZ29" i="72"/>
  <c r="CY29" i="72"/>
  <c r="CL29" i="72"/>
  <c r="BK6" i="72"/>
  <c r="BK7" i="72" s="1"/>
  <c r="AB20" i="72" l="1"/>
  <c r="AB19" i="72"/>
  <c r="AB18" i="72"/>
  <c r="AB17" i="72"/>
  <c r="AB15" i="72"/>
  <c r="AB14" i="72"/>
  <c r="AB13" i="72"/>
  <c r="AF12" i="72" l="1"/>
  <c r="AC18" i="72"/>
  <c r="AC13" i="72"/>
  <c r="AF13" i="72" s="1"/>
  <c r="AC17" i="72"/>
  <c r="AF17" i="72" s="1"/>
  <c r="AC19" i="72"/>
  <c r="AC20" i="72"/>
  <c r="AC14" i="72"/>
  <c r="AF14" i="72" s="1"/>
  <c r="AC15" i="72"/>
  <c r="AF15" i="72" s="1"/>
  <c r="BS13" i="72"/>
  <c r="BS14" i="72"/>
  <c r="BS15" i="72"/>
  <c r="BS17" i="72"/>
  <c r="BF5" i="72" s="1"/>
  <c r="BS18" i="72"/>
  <c r="BS19" i="72"/>
  <c r="BS20" i="72"/>
  <c r="BS12" i="72"/>
  <c r="AF20" i="72" l="1"/>
  <c r="CY12" i="72"/>
  <c r="DC13" i="72"/>
  <c r="DD13" i="72"/>
  <c r="DE13" i="72"/>
  <c r="DF13" i="72"/>
  <c r="DC14" i="72"/>
  <c r="DD14" i="72"/>
  <c r="DE14" i="72"/>
  <c r="DF14" i="72"/>
  <c r="DC15" i="72"/>
  <c r="DD15" i="72"/>
  <c r="DE15" i="72"/>
  <c r="DF15" i="72"/>
  <c r="DC16" i="72"/>
  <c r="DD16" i="72"/>
  <c r="DE16" i="72"/>
  <c r="DF16" i="72"/>
  <c r="DC17" i="72"/>
  <c r="DD17" i="72"/>
  <c r="DE17" i="72"/>
  <c r="DF17" i="72"/>
  <c r="DC18" i="72"/>
  <c r="DD18" i="72"/>
  <c r="DE18" i="72"/>
  <c r="DF18" i="72"/>
  <c r="DC19" i="72"/>
  <c r="DD19" i="72"/>
  <c r="DE19" i="72"/>
  <c r="DF19" i="72"/>
  <c r="DC20" i="72"/>
  <c r="DD20" i="72"/>
  <c r="DE20" i="72"/>
  <c r="DF20" i="72"/>
  <c r="DC21" i="72"/>
  <c r="DD21" i="72"/>
  <c r="DE21" i="72"/>
  <c r="DF21" i="72"/>
  <c r="DC22" i="72"/>
  <c r="DD22" i="72"/>
  <c r="DE22" i="72"/>
  <c r="DF22" i="72"/>
  <c r="DC23" i="72"/>
  <c r="DD23" i="72"/>
  <c r="DE23" i="72"/>
  <c r="DF23" i="72"/>
  <c r="DC24" i="72"/>
  <c r="DD24" i="72"/>
  <c r="DE24" i="72"/>
  <c r="DF24" i="72"/>
  <c r="DC25" i="72"/>
  <c r="DD25" i="72"/>
  <c r="DE25" i="72"/>
  <c r="DF25" i="72"/>
  <c r="DC26" i="72"/>
  <c r="DD26" i="72"/>
  <c r="DE26" i="72"/>
  <c r="DF26" i="72"/>
  <c r="DC27" i="72"/>
  <c r="DD27" i="72"/>
  <c r="DE27" i="72"/>
  <c r="DF27" i="72"/>
  <c r="DC28" i="72"/>
  <c r="DD28" i="72"/>
  <c r="DE28" i="72"/>
  <c r="DF28" i="72"/>
  <c r="DC30" i="72"/>
  <c r="DD30" i="72"/>
  <c r="DE30" i="72"/>
  <c r="DF30" i="72"/>
  <c r="DC31" i="72"/>
  <c r="DD31" i="72"/>
  <c r="DE31" i="72"/>
  <c r="DF31" i="72"/>
  <c r="DF12" i="72"/>
  <c r="DE12" i="72"/>
  <c r="DD12" i="72"/>
  <c r="DC12" i="72"/>
  <c r="CY13" i="72" l="1"/>
  <c r="CZ13" i="72"/>
  <c r="DA13" i="72"/>
  <c r="DB13" i="72"/>
  <c r="CY14" i="72"/>
  <c r="CZ14" i="72"/>
  <c r="DA14" i="72"/>
  <c r="DB14" i="72"/>
  <c r="CY15" i="72"/>
  <c r="CZ15" i="72"/>
  <c r="DA15" i="72"/>
  <c r="DB15" i="72"/>
  <c r="CY16" i="72"/>
  <c r="CZ16" i="72"/>
  <c r="DA16" i="72"/>
  <c r="DB16" i="72"/>
  <c r="CY17" i="72"/>
  <c r="CZ17" i="72"/>
  <c r="DA17" i="72"/>
  <c r="DB17" i="72"/>
  <c r="CY18" i="72"/>
  <c r="CZ18" i="72"/>
  <c r="DA18" i="72"/>
  <c r="DB18" i="72"/>
  <c r="CY19" i="72"/>
  <c r="CZ19" i="72"/>
  <c r="DA19" i="72"/>
  <c r="DB19" i="72"/>
  <c r="CY20" i="72"/>
  <c r="CZ20" i="72"/>
  <c r="DA20" i="72"/>
  <c r="DB20" i="72"/>
  <c r="CY21" i="72"/>
  <c r="CZ21" i="72"/>
  <c r="DA21" i="72"/>
  <c r="DB21" i="72"/>
  <c r="CY22" i="72"/>
  <c r="CZ22" i="72"/>
  <c r="DA22" i="72"/>
  <c r="DB22" i="72"/>
  <c r="CY23" i="72"/>
  <c r="CZ23" i="72"/>
  <c r="DA23" i="72"/>
  <c r="DB23" i="72"/>
  <c r="CY24" i="72"/>
  <c r="CZ24" i="72"/>
  <c r="DA24" i="72"/>
  <c r="DB24" i="72"/>
  <c r="CY25" i="72"/>
  <c r="CZ25" i="72"/>
  <c r="DA25" i="72"/>
  <c r="DB25" i="72"/>
  <c r="CY26" i="72"/>
  <c r="CZ26" i="72"/>
  <c r="DA26" i="72"/>
  <c r="DB26" i="72"/>
  <c r="CY27" i="72"/>
  <c r="CZ27" i="72"/>
  <c r="DA27" i="72"/>
  <c r="DB27" i="72"/>
  <c r="CY28" i="72"/>
  <c r="CZ28" i="72"/>
  <c r="DA28" i="72"/>
  <c r="DB28" i="72"/>
  <c r="CY30" i="72"/>
  <c r="CZ30" i="72"/>
  <c r="DA30" i="72"/>
  <c r="DB30" i="72"/>
  <c r="CY31" i="72"/>
  <c r="CZ31" i="72"/>
  <c r="DA31" i="72"/>
  <c r="DB31" i="72"/>
  <c r="DB12" i="72"/>
  <c r="DA12" i="72"/>
  <c r="CZ12" i="72"/>
  <c r="BN12" i="72" l="1"/>
  <c r="BO12" i="72"/>
  <c r="BP12" i="72"/>
  <c r="BQ12" i="72"/>
  <c r="BN13" i="72"/>
  <c r="BO13" i="72"/>
  <c r="BP13" i="72"/>
  <c r="BQ13" i="72"/>
  <c r="BN14" i="72"/>
  <c r="BO14" i="72"/>
  <c r="BP14" i="72"/>
  <c r="BQ14" i="72"/>
  <c r="BN15" i="72"/>
  <c r="BO15" i="72"/>
  <c r="BP15" i="72"/>
  <c r="BQ15" i="72"/>
  <c r="BN16" i="72"/>
  <c r="BO16" i="72"/>
  <c r="BP16" i="72"/>
  <c r="BQ16" i="72"/>
  <c r="BN17" i="72"/>
  <c r="BO17" i="72"/>
  <c r="BP17" i="72"/>
  <c r="BQ17" i="72"/>
  <c r="BN18" i="72"/>
  <c r="BO18" i="72"/>
  <c r="BP18" i="72"/>
  <c r="BQ18" i="72"/>
  <c r="BN19" i="72"/>
  <c r="BO19" i="72"/>
  <c r="BP19" i="72"/>
  <c r="BQ19" i="72"/>
  <c r="BN20" i="72"/>
  <c r="BO20" i="72"/>
  <c r="BP20" i="72"/>
  <c r="BQ20" i="72"/>
  <c r="BR19" i="72" l="1"/>
  <c r="CE19" i="72" s="1"/>
  <c r="BR16" i="72"/>
  <c r="CE16" i="72" s="1"/>
  <c r="BR20" i="72"/>
  <c r="CE20" i="72" s="1"/>
  <c r="BR17" i="72"/>
  <c r="CE17" i="72" s="1"/>
  <c r="BR14" i="72"/>
  <c r="CE14" i="72" s="1"/>
  <c r="BR18" i="72"/>
  <c r="CE18" i="72" s="1"/>
  <c r="BR15" i="72"/>
  <c r="CE15" i="72" s="1"/>
  <c r="BR13" i="72"/>
  <c r="CE13" i="72" s="1"/>
  <c r="BR12" i="72"/>
  <c r="CE12" i="72" s="1"/>
  <c r="BA6" i="72" l="1"/>
  <c r="BB6" i="72" s="1"/>
  <c r="AN2" i="73"/>
  <c r="AP6" i="73" l="1" a="1"/>
  <c r="AP6" i="73" s="1"/>
  <c r="AP10" i="73" a="1"/>
  <c r="AP10" i="73" s="1"/>
  <c r="AP15" i="73" a="1"/>
  <c r="AP15" i="73" s="1"/>
  <c r="AP19" i="73" a="1"/>
  <c r="AP19" i="73" s="1"/>
  <c r="AP24" i="73" a="1"/>
  <c r="AP24" i="73" s="1"/>
  <c r="AP28" i="73" a="1"/>
  <c r="AP28" i="73" s="1"/>
  <c r="AP33" i="73" a="1"/>
  <c r="AP33" i="73" s="1"/>
  <c r="AP37" i="73" a="1"/>
  <c r="AP37" i="73" s="1"/>
  <c r="AP42" i="73" a="1"/>
  <c r="AP42" i="73" s="1"/>
  <c r="AP46" i="73" a="1"/>
  <c r="AP46" i="73" s="1"/>
  <c r="AP51" i="73" a="1"/>
  <c r="AP51" i="73" s="1"/>
  <c r="AP55" i="73" a="1"/>
  <c r="AP55" i="73" s="1"/>
  <c r="AP60" i="73" a="1"/>
  <c r="AP60" i="73" s="1"/>
  <c r="AO6" i="73" a="1"/>
  <c r="AO6" i="73" s="1"/>
  <c r="AO10" i="73" a="1"/>
  <c r="AO10" i="73" s="1"/>
  <c r="AO15" i="73" a="1"/>
  <c r="AO15" i="73" s="1"/>
  <c r="AO19" i="73" a="1"/>
  <c r="AO19" i="73" s="1"/>
  <c r="AO24" i="73" a="1"/>
  <c r="AO24" i="73" s="1"/>
  <c r="AO28" i="73" a="1"/>
  <c r="AO28" i="73" s="1"/>
  <c r="AO33" i="73" a="1"/>
  <c r="AO33" i="73" s="1"/>
  <c r="AO37" i="73" a="1"/>
  <c r="AO37" i="73" s="1"/>
  <c r="AO42" i="73" a="1"/>
  <c r="AO42" i="73" s="1"/>
  <c r="AO46" i="73" a="1"/>
  <c r="AO46" i="73" s="1"/>
  <c r="AO51" i="73" a="1"/>
  <c r="AO51" i="73" s="1"/>
  <c r="AO55" i="73" a="1"/>
  <c r="AO55" i="73" s="1"/>
  <c r="AO60" i="73" a="1"/>
  <c r="AO60" i="73" s="1"/>
  <c r="AP5" i="73" a="1"/>
  <c r="AP5" i="73" s="1"/>
  <c r="AP11" i="73" a="1"/>
  <c r="AP11" i="73" s="1"/>
  <c r="AP16" i="73" a="1"/>
  <c r="AP16" i="73" s="1"/>
  <c r="AP27" i="73" a="1"/>
  <c r="AP27" i="73" s="1"/>
  <c r="AP32" i="73" a="1"/>
  <c r="AP32" i="73" s="1"/>
  <c r="AP38" i="73" a="1"/>
  <c r="AP38" i="73" s="1"/>
  <c r="AP43" i="73" a="1"/>
  <c r="AP43" i="73" s="1"/>
  <c r="AP54" i="73" a="1"/>
  <c r="AP54" i="73" s="1"/>
  <c r="AP59" i="73" a="1"/>
  <c r="AP59" i="73" s="1"/>
  <c r="AO12" i="73" a="1"/>
  <c r="AO12" i="73" s="1"/>
  <c r="AO17" i="73" a="1"/>
  <c r="AO17" i="73" s="1"/>
  <c r="AO22" i="73" a="1"/>
  <c r="AO22" i="73" s="1"/>
  <c r="AO39" i="73" a="1"/>
  <c r="AO39" i="73" s="1"/>
  <c r="AO44" i="73" a="1"/>
  <c r="AO44" i="73" s="1"/>
  <c r="AO49" i="73" a="1"/>
  <c r="AO49" i="73" s="1"/>
  <c r="AO61" i="73" a="1"/>
  <c r="AO61" i="73" s="1"/>
  <c r="AP9" i="73" a="1"/>
  <c r="AP9" i="73" s="1"/>
  <c r="AP14" i="73" a="1"/>
  <c r="AP14" i="73" s="1"/>
  <c r="AP20" i="73" a="1"/>
  <c r="AP20" i="73" s="1"/>
  <c r="AP25" i="73" a="1"/>
  <c r="AP25" i="73" s="1"/>
  <c r="AP36" i="73" a="1"/>
  <c r="AP36" i="73" s="1"/>
  <c r="AP41" i="73" a="1"/>
  <c r="AP41" i="73" s="1"/>
  <c r="AP47" i="73" a="1"/>
  <c r="AP47" i="73" s="1"/>
  <c r="AP52" i="73" a="1"/>
  <c r="AP52" i="73" s="1"/>
  <c r="AO4" i="73" a="1"/>
  <c r="AO4" i="73" s="1"/>
  <c r="AO21" i="73" a="1"/>
  <c r="AO21" i="73" s="1"/>
  <c r="AO26" i="73" a="1"/>
  <c r="AO26" i="73" s="1"/>
  <c r="AO31" i="73" a="1"/>
  <c r="AO31" i="73" s="1"/>
  <c r="AO48" i="73" a="1"/>
  <c r="AO48" i="73" s="1"/>
  <c r="AO53" i="73" a="1"/>
  <c r="AO53" i="73" s="1"/>
  <c r="AO58" i="73" a="1"/>
  <c r="AO58" i="73" s="1"/>
  <c r="AP13" i="73" a="1"/>
  <c r="AP13" i="73" s="1"/>
  <c r="AP22" i="73" a="1"/>
  <c r="AP22" i="73" s="1"/>
  <c r="AP30" i="73" a="1"/>
  <c r="AP30" i="73" s="1"/>
  <c r="AP39" i="73" a="1"/>
  <c r="AP39" i="73" s="1"/>
  <c r="AP62" i="73" a="1"/>
  <c r="AP62" i="73" s="1"/>
  <c r="AO20" i="73" a="1"/>
  <c r="AO20" i="73" s="1"/>
  <c r="AO29" i="73" a="1"/>
  <c r="AO29" i="73" s="1"/>
  <c r="AO36" i="73" a="1"/>
  <c r="AO36" i="73" s="1"/>
  <c r="AO45" i="73" a="1"/>
  <c r="AO45" i="73" s="1"/>
  <c r="AO52" i="73" a="1"/>
  <c r="AO52" i="73" s="1"/>
  <c r="AO62" i="73" a="1"/>
  <c r="AO62" i="73" s="1"/>
  <c r="AP29" i="73" a="1"/>
  <c r="AP29" i="73" s="1"/>
  <c r="AP49" i="73" a="1"/>
  <c r="AP49" i="73" s="1"/>
  <c r="AP58" i="73" a="1"/>
  <c r="AP58" i="73" s="1"/>
  <c r="AO9" i="73" a="1"/>
  <c r="AO9" i="73" s="1"/>
  <c r="AO30" i="73" a="1"/>
  <c r="AO30" i="73" s="1"/>
  <c r="AP12" i="73" a="1"/>
  <c r="AP12" i="73" s="1"/>
  <c r="AP21" i="73" a="1"/>
  <c r="AP21" i="73" s="1"/>
  <c r="AP31" i="73" a="1"/>
  <c r="AP31" i="73" s="1"/>
  <c r="AP40" i="73" a="1"/>
  <c r="AP40" i="73" s="1"/>
  <c r="AP50" i="73" a="1"/>
  <c r="AP50" i="73" s="1"/>
  <c r="AO11" i="73" a="1"/>
  <c r="AO11" i="73" s="1"/>
  <c r="AO40" i="73" a="1"/>
  <c r="AO40" i="73" s="1"/>
  <c r="AO50" i="73" a="1"/>
  <c r="AO50" i="73" s="1"/>
  <c r="AO59" i="73" a="1"/>
  <c r="AO59" i="73" s="1"/>
  <c r="AP23" i="73" a="1"/>
  <c r="AP23" i="73" s="1"/>
  <c r="AP61" i="73" a="1"/>
  <c r="AP61" i="73" s="1"/>
  <c r="AO13" i="73" a="1"/>
  <c r="AO13" i="73" s="1"/>
  <c r="AO23" i="73" a="1"/>
  <c r="AO23" i="73" s="1"/>
  <c r="AO32" i="73" a="1"/>
  <c r="AO32" i="73" s="1"/>
  <c r="AO41" i="73" a="1"/>
  <c r="AO41" i="73" s="1"/>
  <c r="AP3" i="73" a="1"/>
  <c r="AP3" i="73" s="1"/>
  <c r="AP8" i="73" a="1"/>
  <c r="AP8" i="73" s="1"/>
  <c r="AP48" i="73" a="1"/>
  <c r="AP48" i="73" s="1"/>
  <c r="AO8" i="73" a="1"/>
  <c r="AO8" i="73" s="1"/>
  <c r="AO27" i="73" a="1"/>
  <c r="AO27" i="73" s="1"/>
  <c r="AO47" i="73" a="1"/>
  <c r="AO47" i="73" s="1"/>
  <c r="AP34" i="73" a="1"/>
  <c r="AP34" i="73" s="1"/>
  <c r="AP53" i="73" a="1"/>
  <c r="AP53" i="73" s="1"/>
  <c r="AO14" i="73" a="1"/>
  <c r="AO14" i="73" s="1"/>
  <c r="AO34" i="73" a="1"/>
  <c r="AO34" i="73" s="1"/>
  <c r="AO54" i="73" a="1"/>
  <c r="AO54" i="73" s="1"/>
  <c r="AP17" i="73" a="1"/>
  <c r="AP17" i="73" s="1"/>
  <c r="AP35" i="73" a="1"/>
  <c r="AP35" i="73" s="1"/>
  <c r="AP56" i="73" a="1"/>
  <c r="AP56" i="73" s="1"/>
  <c r="AO16" i="73" a="1"/>
  <c r="AO16" i="73" s="1"/>
  <c r="AO35" i="73" a="1"/>
  <c r="AO35" i="73" s="1"/>
  <c r="AO56" i="73" a="1"/>
  <c r="AO56" i="73" s="1"/>
  <c r="AP18" i="73" a="1"/>
  <c r="AP18" i="73" s="1"/>
  <c r="AP57" i="73" a="1"/>
  <c r="AP57" i="73" s="1"/>
  <c r="AO18" i="73" a="1"/>
  <c r="AO18" i="73" s="1"/>
  <c r="AO38" i="73" a="1"/>
  <c r="AO38" i="73" s="1"/>
  <c r="AO57" i="73" a="1"/>
  <c r="AO57" i="73" s="1"/>
  <c r="AP4" i="73" a="1"/>
  <c r="AP4" i="73" s="1"/>
  <c r="AP44" i="73" a="1"/>
  <c r="AP44" i="73" s="1"/>
  <c r="AO5" i="73" a="1"/>
  <c r="AO5" i="73" s="1"/>
  <c r="AO43" i="73" a="1"/>
  <c r="AO43" i="73" s="1"/>
  <c r="AO3" i="73" a="1"/>
  <c r="AO3" i="73" s="1"/>
  <c r="AP7" i="73" a="1"/>
  <c r="AP7" i="73" s="1"/>
  <c r="AP26" i="73" a="1"/>
  <c r="AP26" i="73" s="1"/>
  <c r="AP45" i="73" a="1"/>
  <c r="AP45" i="73" s="1"/>
  <c r="AO7" i="73" a="1"/>
  <c r="AO7" i="73" s="1"/>
  <c r="AO25" i="73" a="1"/>
  <c r="AO25" i="73" s="1"/>
  <c r="AU39" i="73" l="1" a="1"/>
  <c r="AU39" i="73" s="1"/>
  <c r="AV28" i="73" a="1"/>
  <c r="AV28" i="73" s="1"/>
  <c r="AX14" i="73" a="1"/>
  <c r="AX14" i="73" s="1"/>
  <c r="AV4" i="73" a="1"/>
  <c r="AV4" i="73" s="1"/>
  <c r="AS37" i="73" a="1"/>
  <c r="AS37" i="73" s="1"/>
  <c r="AS35" i="73" a="1"/>
  <c r="AS35" i="73" s="1"/>
  <c r="AT17" i="73" a="1"/>
  <c r="AT17" i="73" s="1"/>
  <c r="AV17" i="73" a="1"/>
  <c r="AV17" i="73" s="1"/>
  <c r="AU17" i="73" a="1"/>
  <c r="AU17" i="73" s="1"/>
  <c r="AS23" i="73" a="1"/>
  <c r="AS23" i="73" s="1"/>
  <c r="AW34" i="73" a="1"/>
  <c r="AW34" i="73" s="1"/>
  <c r="AW5" i="73" a="1"/>
  <c r="AW5" i="73" s="1"/>
  <c r="AU3" i="73" a="1"/>
  <c r="AU3" i="73" s="1"/>
  <c r="AW13" i="73" a="1"/>
  <c r="AW13" i="73" s="1"/>
  <c r="AV26" i="73" a="1"/>
  <c r="AV26" i="73" s="1"/>
  <c r="AX21" i="73" a="1"/>
  <c r="AX21" i="73" s="1"/>
  <c r="AW40" i="73" a="1"/>
  <c r="AW40" i="73" s="1"/>
  <c r="AX28" i="73" a="1"/>
  <c r="AX28" i="73" s="1"/>
  <c r="AX33" i="73" a="1"/>
  <c r="AX33" i="73" s="1"/>
  <c r="AW26" i="73" a="1"/>
  <c r="AW26" i="73" s="1"/>
  <c r="AX13" i="73" a="1"/>
  <c r="AX13" i="73" s="1"/>
  <c r="AR10" i="73" a="1"/>
  <c r="AR10" i="73" s="1"/>
  <c r="AX35" i="73" a="1"/>
  <c r="AX35" i="73" s="1"/>
  <c r="AX3" i="73" a="1"/>
  <c r="AX3" i="73" s="1"/>
  <c r="AV33" i="73" a="1"/>
  <c r="AV33" i="73" s="1"/>
  <c r="AT20" i="73" a="1"/>
  <c r="AT20" i="73" s="1"/>
  <c r="AT8" i="73" a="1"/>
  <c r="AT8" i="73" s="1"/>
  <c r="AW38" i="73" a="1"/>
  <c r="AW38" i="73" s="1"/>
  <c r="AX5" i="73" a="1"/>
  <c r="AX5" i="73" s="1"/>
  <c r="AX31" i="73" a="1"/>
  <c r="AX31" i="73" s="1"/>
  <c r="AU8" i="73" a="1"/>
  <c r="AU8" i="73" s="1"/>
  <c r="AW20" i="73" a="1"/>
  <c r="AW20" i="73" s="1"/>
  <c r="AV34" i="73" a="1"/>
  <c r="AV34" i="73" s="1"/>
  <c r="AT3" i="73" a="1"/>
  <c r="AT3" i="73" s="1"/>
  <c r="AS15" i="73" a="1"/>
  <c r="AS15" i="73" s="1"/>
  <c r="AR28" i="73" a="1"/>
  <c r="AR28" i="73" s="1"/>
  <c r="AW39" i="73" a="1"/>
  <c r="AW39" i="73" s="1"/>
  <c r="AV3" i="73" a="1"/>
  <c r="AV3" i="73" s="1"/>
  <c r="AV15" i="73" a="1"/>
  <c r="AV15" i="73" s="1"/>
  <c r="AU26" i="73" a="1"/>
  <c r="AU26" i="73" s="1"/>
  <c r="AT37" i="73" a="1"/>
  <c r="AT37" i="73" s="1"/>
  <c r="AS19" i="73" a="1"/>
  <c r="AS19" i="73" s="1"/>
  <c r="AU28" i="73" a="1"/>
  <c r="AU28" i="73" s="1"/>
  <c r="AX39" i="73" a="1"/>
  <c r="AX39" i="73" s="1"/>
  <c r="AS4" i="73" a="1"/>
  <c r="AS4" i="73" s="1"/>
  <c r="AU13" i="73" a="1"/>
  <c r="AU13" i="73" s="1"/>
  <c r="AW21" i="73" a="1"/>
  <c r="AW21" i="73" s="1"/>
  <c r="AR31" i="73" a="1"/>
  <c r="AR31" i="73" s="1"/>
  <c r="AV29" i="73" a="1"/>
  <c r="AV29" i="73" s="1"/>
  <c r="AR4" i="73" a="1"/>
  <c r="AR4" i="73" s="1"/>
  <c r="AS10" i="73" a="1"/>
  <c r="AS10" i="73" s="1"/>
  <c r="AU16" i="73" a="1"/>
  <c r="AU16" i="73" s="1"/>
  <c r="AU22" i="73" a="1"/>
  <c r="AU22" i="73" s="1"/>
  <c r="AW27" i="73" a="1"/>
  <c r="AW27" i="73" s="1"/>
  <c r="AR34" i="73" a="1"/>
  <c r="AR34" i="73" s="1"/>
  <c r="AT39" i="73" a="1"/>
  <c r="AT39" i="73" s="1"/>
  <c r="AW4" i="73" a="1"/>
  <c r="AW4" i="73" s="1"/>
  <c r="AX10" i="73" a="1"/>
  <c r="AX10" i="73" s="1"/>
  <c r="AR17" i="73" a="1"/>
  <c r="AR17" i="73" s="1"/>
  <c r="AW23" i="73" a="1"/>
  <c r="AW23" i="73" s="1"/>
  <c r="AR29" i="73" a="1"/>
  <c r="AR29" i="73" s="1"/>
  <c r="AT35" i="73" a="1"/>
  <c r="AT35" i="73" s="1"/>
  <c r="AW7" i="73" a="1"/>
  <c r="AW7" i="73" s="1"/>
  <c r="AX12" i="73" a="1"/>
  <c r="AX12" i="73" s="1"/>
  <c r="AR18" i="73" a="1"/>
  <c r="AR18" i="73" s="1"/>
  <c r="AT25" i="73" a="1"/>
  <c r="AT25" i="73" s="1"/>
  <c r="AR33" i="73" a="1"/>
  <c r="AR33" i="73" s="1"/>
  <c r="AU23" i="73" a="1"/>
  <c r="AU23" i="73" s="1"/>
  <c r="AS12" i="73" a="1"/>
  <c r="AS12" i="73" s="1"/>
  <c r="AV9" i="73" a="1"/>
  <c r="AV9" i="73" s="1"/>
  <c r="AT22" i="73" a="1"/>
  <c r="AT22" i="73" s="1"/>
  <c r="AT5" i="73" a="1"/>
  <c r="AT5" i="73" s="1"/>
  <c r="AU5" i="73" a="1"/>
  <c r="AU5" i="73" s="1"/>
  <c r="AV39" i="73" a="1"/>
  <c r="AV39" i="73" s="1"/>
  <c r="AR32" i="73" a="1"/>
  <c r="AR32" i="73" s="1"/>
  <c r="AV18" i="73" a="1"/>
  <c r="AV18" i="73" s="1"/>
  <c r="AS14" i="73" a="1"/>
  <c r="AS14" i="73" s="1"/>
  <c r="AV7" i="73" a="1"/>
  <c r="AV7" i="73" s="1"/>
  <c r="AR30" i="73" a="1"/>
  <c r="AR30" i="73" s="1"/>
  <c r="AV21" i="73" a="1"/>
  <c r="AV21" i="73" s="1"/>
  <c r="AW30" i="73" a="1"/>
  <c r="AW30" i="73" s="1"/>
  <c r="AV5" i="73" a="1"/>
  <c r="AV5" i="73" s="1"/>
  <c r="AX38" i="73" a="1"/>
  <c r="AX38" i="73" s="1"/>
  <c r="AS18" i="73" a="1"/>
  <c r="AS18" i="73" s="1"/>
  <c r="AU24" i="73" a="1"/>
  <c r="AU24" i="73" s="1"/>
  <c r="AX29" i="73" a="1"/>
  <c r="AX29" i="73" s="1"/>
  <c r="AR36" i="73" a="1"/>
  <c r="AR36" i="73" s="1"/>
  <c r="AW18" i="73" a="1"/>
  <c r="AW18" i="73" s="1"/>
  <c r="AU11" i="73" a="1"/>
  <c r="AU11" i="73" s="1"/>
  <c r="AU4" i="73" a="1"/>
  <c r="AU4" i="73" s="1"/>
  <c r="AX26" i="73" a="1"/>
  <c r="AX26" i="73" s="1"/>
  <c r="AW16" i="73" a="1"/>
  <c r="AW16" i="73" s="1"/>
  <c r="AV13" i="73" a="1"/>
  <c r="AV13" i="73" s="1"/>
  <c r="AU12" i="73" a="1"/>
  <c r="AU12" i="73" s="1"/>
  <c r="AW25" i="73" a="1"/>
  <c r="AW25" i="73" s="1"/>
  <c r="AR38" i="73" a="1"/>
  <c r="AR38" i="73" s="1"/>
  <c r="AR7" i="73" a="1"/>
  <c r="AR7" i="73" s="1"/>
  <c r="AV19" i="73" a="1"/>
  <c r="AV19" i="73" s="1"/>
  <c r="AT31" i="73" a="1"/>
  <c r="AT31" i="73" s="1"/>
  <c r="AU7" i="73" a="1"/>
  <c r="AU7" i="73" s="1"/>
  <c r="AW19" i="73" a="1"/>
  <c r="AW19" i="73" s="1"/>
  <c r="AU33" i="73" a="1"/>
  <c r="AU33" i="73" s="1"/>
  <c r="AS13" i="73" a="1"/>
  <c r="AS13" i="73" s="1"/>
  <c r="AV22" i="73" a="1"/>
  <c r="AV22" i="73" s="1"/>
  <c r="AS33" i="73" a="1"/>
  <c r="AS33" i="73" s="1"/>
  <c r="AT7" i="73" a="1"/>
  <c r="AT7" i="73" s="1"/>
  <c r="AV16" i="73" a="1"/>
  <c r="AV16" i="73" s="1"/>
  <c r="AS24" i="73" a="1"/>
  <c r="AS24" i="73" s="1"/>
  <c r="AT33" i="73" a="1"/>
  <c r="AT33" i="73" s="1"/>
  <c r="AS6" i="73" a="1"/>
  <c r="AS6" i="73" s="1"/>
  <c r="AT12" i="73" a="1"/>
  <c r="AT12" i="73" s="1"/>
  <c r="AU18" i="73" a="1"/>
  <c r="AU18" i="73" s="1"/>
  <c r="AX23" i="73" a="1"/>
  <c r="AX23" i="73" s="1"/>
  <c r="AS30" i="73" a="1"/>
  <c r="AS30" i="73" s="1"/>
  <c r="AU35" i="73" a="1"/>
  <c r="AU35" i="73" s="1"/>
  <c r="AW6" i="73" a="1"/>
  <c r="AW6" i="73" s="1"/>
  <c r="AR13" i="73" a="1"/>
  <c r="AR13" i="73" s="1"/>
  <c r="AX19" i="73" a="1"/>
  <c r="AX19" i="73" s="1"/>
  <c r="AS25" i="73" a="1"/>
  <c r="AS25" i="73" s="1"/>
  <c r="AU31" i="73" a="1"/>
  <c r="AU31" i="73" s="1"/>
  <c r="AW36" i="73" a="1"/>
  <c r="AW36" i="73" s="1"/>
  <c r="AT4" i="73" a="1"/>
  <c r="AT4" i="73" s="1"/>
  <c r="AU9" i="73" a="1"/>
  <c r="AU9" i="73" s="1"/>
  <c r="AV14" i="73" a="1"/>
  <c r="AV14" i="73" s="1"/>
  <c r="AS20" i="73" a="1"/>
  <c r="AS20" i="73" s="1"/>
  <c r="AX27" i="73" a="1"/>
  <c r="AX27" i="73" s="1"/>
  <c r="AV35" i="73" a="1"/>
  <c r="AV35" i="73" s="1"/>
  <c r="AV10" i="73" a="1"/>
  <c r="AV10" i="73" s="1"/>
  <c r="AX22" i="73" a="1"/>
  <c r="AX22" i="73" s="1"/>
  <c r="AX11" i="73" a="1"/>
  <c r="AX11" i="73" s="1"/>
  <c r="AV8" i="73" a="1"/>
  <c r="AV8" i="73" s="1"/>
  <c r="AX18" i="73" a="1"/>
  <c r="AX18" i="73" s="1"/>
  <c r="AT34" i="73" a="1"/>
  <c r="AT34" i="73" s="1"/>
  <c r="AR22" i="73" a="1"/>
  <c r="AR22" i="73" s="1"/>
  <c r="AW15" i="73" a="1"/>
  <c r="AW15" i="73" s="1"/>
  <c r="AR8" i="73" a="1"/>
  <c r="AR8" i="73" s="1"/>
  <c r="AT30" i="73" a="1"/>
  <c r="AT30" i="73" s="1"/>
  <c r="AV23" i="73" a="1"/>
  <c r="AV23" i="73" s="1"/>
  <c r="AT18" i="73" a="1"/>
  <c r="AT18" i="73" s="1"/>
  <c r="AS3" i="73" a="1"/>
  <c r="AS3" i="73" s="1"/>
  <c r="AU14" i="73" a="1"/>
  <c r="AU14" i="73" s="1"/>
  <c r="AT29" i="73" a="1"/>
  <c r="AT29" i="73" s="1"/>
  <c r="AR9" i="73" a="1"/>
  <c r="AR9" i="73" s="1"/>
  <c r="AR21" i="73" a="1"/>
  <c r="AR21" i="73" s="1"/>
  <c r="AX34" i="73" a="1"/>
  <c r="AX34" i="73" s="1"/>
  <c r="AT9" i="73" a="1"/>
  <c r="AT9" i="73" s="1"/>
  <c r="AS21" i="73" a="1"/>
  <c r="AS21" i="73" s="1"/>
  <c r="AR35" i="73" a="1"/>
  <c r="AR35" i="73" s="1"/>
  <c r="AW14" i="73" a="1"/>
  <c r="AW14" i="73" s="1"/>
  <c r="AR25" i="73" a="1"/>
  <c r="AR25" i="73" s="1"/>
  <c r="AS34" i="73" a="1"/>
  <c r="AS34" i="73" s="1"/>
  <c r="AW8" i="73" a="1"/>
  <c r="AW8" i="73" s="1"/>
  <c r="AX17" i="73" a="1"/>
  <c r="AX17" i="73" s="1"/>
  <c r="AU27" i="73" a="1"/>
  <c r="AU27" i="73" s="1"/>
  <c r="AU34" i="73" a="1"/>
  <c r="AU34" i="73" s="1"/>
  <c r="AS7" i="73" a="1"/>
  <c r="AS7" i="73" s="1"/>
  <c r="AT13" i="73" a="1"/>
  <c r="AT13" i="73" s="1"/>
  <c r="AT19" i="73" a="1"/>
  <c r="AT19" i="73" s="1"/>
  <c r="AW24" i="73" a="1"/>
  <c r="AW24" i="73" s="1"/>
  <c r="AX30" i="73" a="1"/>
  <c r="AX30" i="73" s="1"/>
  <c r="AT36" i="73" a="1"/>
  <c r="AT36" i="73" s="1"/>
  <c r="AX7" i="73" a="1"/>
  <c r="AX7" i="73" s="1"/>
  <c r="AR14" i="73" a="1"/>
  <c r="AR14" i="73" s="1"/>
  <c r="AV20" i="73" a="1"/>
  <c r="AV20" i="73" s="1"/>
  <c r="AR26" i="73" a="1"/>
  <c r="AR26" i="73" s="1"/>
  <c r="AS32" i="73" a="1"/>
  <c r="AS32" i="73" s="1"/>
  <c r="AV37" i="73" a="1"/>
  <c r="AV37" i="73" s="1"/>
  <c r="AS5" i="73" a="1"/>
  <c r="AS5" i="73" s="1"/>
  <c r="AT10" i="73" a="1"/>
  <c r="AT10" i="73" s="1"/>
  <c r="AU15" i="73" a="1"/>
  <c r="AU15" i="73" s="1"/>
  <c r="AU21" i="73" a="1"/>
  <c r="AU21" i="73" s="1"/>
  <c r="AS29" i="73" a="1"/>
  <c r="AS29" i="73" s="1"/>
  <c r="AX36" i="73" a="1"/>
  <c r="AX36" i="73" s="1"/>
  <c r="AS36" i="73" a="1"/>
  <c r="AS36" i="73" s="1"/>
  <c r="AU29" i="73" a="1"/>
  <c r="AU29" i="73" s="1"/>
  <c r="AR5" i="73" a="1"/>
  <c r="AR5" i="73" s="1"/>
  <c r="AT11" i="73" a="1"/>
  <c r="AT11" i="73" s="1"/>
  <c r="AT6" i="73" a="1"/>
  <c r="AT6" i="73" s="1"/>
  <c r="AT23" i="73" a="1"/>
  <c r="AT23" i="73" s="1"/>
  <c r="AV11" i="73" a="1"/>
  <c r="AV11" i="73" s="1"/>
  <c r="AS27" i="73" a="1"/>
  <c r="AS27" i="73" s="1"/>
  <c r="AX24" i="73" a="1"/>
  <c r="AX24" i="73" s="1"/>
  <c r="AX4" i="73" a="1"/>
  <c r="AX4" i="73" s="1"/>
  <c r="AX16" i="73" a="1"/>
  <c r="AX16" i="73" s="1"/>
  <c r="AS31" i="73" a="1"/>
  <c r="AS31" i="73" s="1"/>
  <c r="AW10" i="73" a="1"/>
  <c r="AW10" i="73" s="1"/>
  <c r="AT24" i="73" a="1"/>
  <c r="AT24" i="73" s="1"/>
  <c r="AU36" i="73" a="1"/>
  <c r="AU36" i="73" s="1"/>
  <c r="AR11" i="73" a="1"/>
  <c r="AR11" i="73" s="1"/>
  <c r="AR23" i="73" a="1"/>
  <c r="AR23" i="73" s="1"/>
  <c r="AR37" i="73" a="1"/>
  <c r="AR37" i="73" s="1"/>
  <c r="AS16" i="73" a="1"/>
  <c r="AS16" i="73" s="1"/>
  <c r="AS26" i="73" a="1"/>
  <c r="AS26" i="73" s="1"/>
  <c r="AV36" i="73" a="1"/>
  <c r="AV36" i="73" s="1"/>
  <c r="AU10" i="73" a="1"/>
  <c r="AU10" i="73" s="1"/>
  <c r="AU19" i="73" a="1"/>
  <c r="AU19" i="73" s="1"/>
  <c r="AW28" i="73" a="1"/>
  <c r="AW28" i="73" s="1"/>
  <c r="AW35" i="73" a="1"/>
  <c r="AW35" i="73" s="1"/>
  <c r="AS8" i="73" a="1"/>
  <c r="AS8" i="73" s="1"/>
  <c r="AT14" i="73" a="1"/>
  <c r="AT14" i="73" s="1"/>
  <c r="AR20" i="73" a="1"/>
  <c r="AR20" i="73" s="1"/>
  <c r="AT26" i="73" a="1"/>
  <c r="AT26" i="73" s="1"/>
  <c r="AV31" i="73" a="1"/>
  <c r="AV31" i="73" s="1"/>
  <c r="AX37" i="73" a="1"/>
  <c r="AX37" i="73" s="1"/>
  <c r="AX8" i="73" a="1"/>
  <c r="AX8" i="73" s="1"/>
  <c r="AR15" i="73" a="1"/>
  <c r="AR15" i="73" s="1"/>
  <c r="AT21" i="73" a="1"/>
  <c r="AT21" i="73" s="1"/>
  <c r="AV27" i="73" a="1"/>
  <c r="AV27" i="73" s="1"/>
  <c r="AX32" i="73" a="1"/>
  <c r="AX32" i="73" s="1"/>
  <c r="AS39" i="73" a="1"/>
  <c r="AS39" i="73" s="1"/>
  <c r="AR6" i="73" a="1"/>
  <c r="AR6" i="73" s="1"/>
  <c r="AS11" i="73" a="1"/>
  <c r="AS11" i="73" s="1"/>
  <c r="AT16" i="73" a="1"/>
  <c r="AT16" i="73" s="1"/>
  <c r="AW22" i="73" a="1"/>
  <c r="AW22" i="73" s="1"/>
  <c r="AU30" i="73" a="1"/>
  <c r="AU30" i="73" s="1"/>
  <c r="AS38" i="73" a="1"/>
  <c r="AS38" i="73" s="1"/>
  <c r="AU25" i="73" a="1"/>
  <c r="AU25" i="73" s="1"/>
  <c r="AV25" i="73" a="1"/>
  <c r="AV25" i="73" s="1"/>
  <c r="AW9" i="73" a="1"/>
  <c r="AW9" i="73" s="1"/>
  <c r="AT32" i="73" a="1"/>
  <c r="AT32" i="73" s="1"/>
  <c r="AU6" i="73" a="1"/>
  <c r="AU6" i="73" s="1"/>
  <c r="AV32" i="73" a="1"/>
  <c r="AV32" i="73" s="1"/>
  <c r="AX15" i="73" a="1"/>
  <c r="AX15" i="73" s="1"/>
  <c r="AU37" i="73" a="1"/>
  <c r="AU37" i="73" s="1"/>
  <c r="AV30" i="73" a="1"/>
  <c r="AV30" i="73" s="1"/>
  <c r="AS28" i="73" a="1"/>
  <c r="AS28" i="73" s="1"/>
  <c r="AV6" i="73" a="1"/>
  <c r="AV6" i="73" s="1"/>
  <c r="AR19" i="73" a="1"/>
  <c r="AR19" i="73" s="1"/>
  <c r="AW32" i="73" a="1"/>
  <c r="AW32" i="73" s="1"/>
  <c r="AV12" i="73" a="1"/>
  <c r="AV12" i="73" s="1"/>
  <c r="AX25" i="73" a="1"/>
  <c r="AX25" i="73" s="1"/>
  <c r="AT38" i="73" a="1"/>
  <c r="AT38" i="73" s="1"/>
  <c r="AW12" i="73" a="1"/>
  <c r="AW12" i="73" s="1"/>
  <c r="AV24" i="73" a="1"/>
  <c r="AV24" i="73" s="1"/>
  <c r="AU38" i="73" a="1"/>
  <c r="AU38" i="73" s="1"/>
  <c r="AW17" i="73" a="1"/>
  <c r="AW17" i="73" s="1"/>
  <c r="AT27" i="73" a="1"/>
  <c r="AT27" i="73" s="1"/>
  <c r="AW37" i="73" a="1"/>
  <c r="AW37" i="73" s="1"/>
  <c r="AW11" i="73" a="1"/>
  <c r="AW11" i="73" s="1"/>
  <c r="AU20" i="73" a="1"/>
  <c r="AU20" i="73" s="1"/>
  <c r="AW29" i="73" a="1"/>
  <c r="AW29" i="73" s="1"/>
  <c r="AR39" i="73" a="1"/>
  <c r="AR39" i="73" s="1"/>
  <c r="AR3" i="73" a="1"/>
  <c r="AR3" i="73" s="1"/>
  <c r="AS9" i="73" a="1"/>
  <c r="AS9" i="73" s="1"/>
  <c r="AT15" i="73" a="1"/>
  <c r="AT15" i="73" s="1"/>
  <c r="AX20" i="73" a="1"/>
  <c r="AX20" i="73" s="1"/>
  <c r="AR27" i="73" a="1"/>
  <c r="AR27" i="73" s="1"/>
  <c r="AU32" i="73" a="1"/>
  <c r="AU32" i="73" s="1"/>
  <c r="AV38" i="73" a="1"/>
  <c r="AV38" i="73" s="1"/>
  <c r="AW3" i="73" a="1"/>
  <c r="AW3" i="73" s="1"/>
  <c r="AX9" i="73" a="1"/>
  <c r="AX9" i="73" s="1"/>
  <c r="AR16" i="73" a="1"/>
  <c r="AR16" i="73" s="1"/>
  <c r="AS22" i="73" a="1"/>
  <c r="AS22" i="73" s="1"/>
  <c r="AT28" i="73" a="1"/>
  <c r="AT28" i="73" s="1"/>
  <c r="AW33" i="73" a="1"/>
  <c r="AW33" i="73" s="1"/>
  <c r="AX6" i="73" a="1"/>
  <c r="AX6" i="73" s="1"/>
  <c r="AR12" i="73" a="1"/>
  <c r="AR12" i="73" s="1"/>
  <c r="AS17" i="73" a="1"/>
  <c r="AS17" i="73" s="1"/>
  <c r="AR24" i="73" a="1"/>
  <c r="AR24" i="73" s="1"/>
  <c r="AW31" i="73" a="1"/>
  <c r="AW31" i="73" s="1"/>
  <c r="CK30" i="72" l="1"/>
  <c r="CK31" i="72"/>
  <c r="CK12" i="72" l="1"/>
  <c r="V2" i="73" l="1"/>
  <c r="W8" i="73" l="1" a="1"/>
  <c r="W8" i="73" s="1"/>
  <c r="W13" i="73" a="1"/>
  <c r="W13" i="73" s="1"/>
  <c r="W19" i="73" a="1"/>
  <c r="W19" i="73" s="1"/>
  <c r="W24" i="73" a="1"/>
  <c r="W24" i="73" s="1"/>
  <c r="W30" i="73" a="1"/>
  <c r="W30" i="73" s="1"/>
  <c r="W35" i="73" a="1"/>
  <c r="W35" i="73" s="1"/>
  <c r="W40" i="73" a="1"/>
  <c r="W40" i="73" s="1"/>
  <c r="W46" i="73" a="1"/>
  <c r="W46" i="73" s="1"/>
  <c r="W51" i="73" a="1"/>
  <c r="W51" i="73" s="1"/>
  <c r="W57" i="73" a="1"/>
  <c r="W57" i="73" s="1"/>
  <c r="W62" i="73" a="1"/>
  <c r="W62" i="73" s="1"/>
  <c r="W67" i="73" a="1"/>
  <c r="W67" i="73" s="1"/>
  <c r="W73" i="73" a="1"/>
  <c r="W73" i="73" s="1"/>
  <c r="W78" i="73" a="1"/>
  <c r="W78" i="73" s="1"/>
  <c r="W84" i="73" a="1"/>
  <c r="W84" i="73" s="1"/>
  <c r="W89" i="73" a="1"/>
  <c r="W89" i="73" s="1"/>
  <c r="W94" i="73" a="1"/>
  <c r="W94" i="73" s="1"/>
  <c r="W100" i="73" a="1"/>
  <c r="W100" i="73" s="1"/>
  <c r="W105" i="73" a="1"/>
  <c r="W105" i="73" s="1"/>
  <c r="W111" i="73" a="1"/>
  <c r="W111" i="73" s="1"/>
  <c r="W116" i="73" a="1"/>
  <c r="W116" i="73" s="1"/>
  <c r="W121" i="73" a="1"/>
  <c r="W121" i="73" s="1"/>
  <c r="W127" i="73" a="1"/>
  <c r="W127" i="73" s="1"/>
  <c r="W132" i="73" a="1"/>
  <c r="W132" i="73" s="1"/>
  <c r="W138" i="73" a="1"/>
  <c r="W138" i="73" s="1"/>
  <c r="W143" i="73" a="1"/>
  <c r="W143" i="73" s="1"/>
  <c r="W148" i="73" a="1"/>
  <c r="W148" i="73" s="1"/>
  <c r="W154" i="73" a="1"/>
  <c r="W154" i="73" s="1"/>
  <c r="W159" i="73" a="1"/>
  <c r="W159" i="73" s="1"/>
  <c r="W165" i="73" a="1"/>
  <c r="W165" i="73" s="1"/>
  <c r="W170" i="73" a="1"/>
  <c r="W170" i="73" s="1"/>
  <c r="W175" i="73" a="1"/>
  <c r="W175" i="73" s="1"/>
  <c r="W181" i="73" a="1"/>
  <c r="W181" i="73" s="1"/>
  <c r="W186" i="73" a="1"/>
  <c r="W186" i="73" s="1"/>
  <c r="W192" i="73" a="1"/>
  <c r="W192" i="73" s="1"/>
  <c r="W197" i="73" a="1"/>
  <c r="W197" i="73" s="1"/>
  <c r="W202" i="73" a="1"/>
  <c r="W202" i="73" s="1"/>
  <c r="W208" i="73" a="1"/>
  <c r="W208" i="73" s="1"/>
  <c r="W213" i="73" a="1"/>
  <c r="W213" i="73" s="1"/>
  <c r="W219" i="73" a="1"/>
  <c r="W219" i="73" s="1"/>
  <c r="W224" i="73" a="1"/>
  <c r="W224" i="73" s="1"/>
  <c r="W229" i="73" a="1"/>
  <c r="W229" i="73" s="1"/>
  <c r="W235" i="73" a="1"/>
  <c r="W235" i="73" s="1"/>
  <c r="W240" i="73" a="1"/>
  <c r="W240" i="73" s="1"/>
  <c r="W246" i="73" a="1"/>
  <c r="W246" i="73" s="1"/>
  <c r="W251" i="73" a="1"/>
  <c r="W251" i="73" s="1"/>
  <c r="W256" i="73" a="1"/>
  <c r="W256" i="73" s="1"/>
  <c r="W261" i="73" a="1"/>
  <c r="W261" i="73" s="1"/>
  <c r="W270" i="73" a="1"/>
  <c r="W270" i="73" s="1"/>
  <c r="W279" i="73" a="1"/>
  <c r="W279" i="73" s="1"/>
  <c r="W288" i="73" a="1"/>
  <c r="W288" i="73" s="1"/>
  <c r="W294" i="73" a="1"/>
  <c r="W294" i="73" s="1"/>
  <c r="W300" i="73" a="1"/>
  <c r="W300" i="73" s="1"/>
  <c r="W306" i="73" a="1"/>
  <c r="W306" i="73" s="1"/>
  <c r="W312" i="73" a="1"/>
  <c r="W312" i="73" s="1"/>
  <c r="W318" i="73" a="1"/>
  <c r="W318" i="73" s="1"/>
  <c r="W324" i="73" a="1"/>
  <c r="W324" i="73" s="1"/>
  <c r="W330" i="73" a="1"/>
  <c r="W330" i="73" s="1"/>
  <c r="W336" i="73" a="1"/>
  <c r="W336" i="73" s="1"/>
  <c r="W342" i="73" a="1"/>
  <c r="W342" i="73" s="1"/>
  <c r="W348" i="73" a="1"/>
  <c r="W348" i="73" s="1"/>
  <c r="W354" i="73" a="1"/>
  <c r="W354" i="73" s="1"/>
  <c r="W360" i="73" a="1"/>
  <c r="W360" i="73" s="1"/>
  <c r="W366" i="73" a="1"/>
  <c r="W366" i="73" s="1"/>
  <c r="W372" i="73" a="1"/>
  <c r="W372" i="73" s="1"/>
  <c r="W378" i="73" a="1"/>
  <c r="W378" i="73" s="1"/>
  <c r="W384" i="73" a="1"/>
  <c r="W384" i="73" s="1"/>
  <c r="W390" i="73" a="1"/>
  <c r="W390" i="73" s="1"/>
  <c r="W396" i="73" a="1"/>
  <c r="W396" i="73" s="1"/>
  <c r="W402" i="73" a="1"/>
  <c r="W402" i="73" s="1"/>
  <c r="W408" i="73" a="1"/>
  <c r="W408" i="73" s="1"/>
  <c r="W414" i="73" a="1"/>
  <c r="W414" i="73" s="1"/>
  <c r="W420" i="73" a="1"/>
  <c r="W420" i="73" s="1"/>
  <c r="W426" i="73" a="1"/>
  <c r="W426" i="73" s="1"/>
  <c r="W432" i="73" a="1"/>
  <c r="W432" i="73" s="1"/>
  <c r="W438" i="73" a="1"/>
  <c r="W438" i="73" s="1"/>
  <c r="W444" i="73" a="1"/>
  <c r="W444" i="73" s="1"/>
  <c r="W450" i="73" a="1"/>
  <c r="W450" i="73" s="1"/>
  <c r="W456" i="73" a="1"/>
  <c r="W456" i="73" s="1"/>
  <c r="W462" i="73" a="1"/>
  <c r="W462" i="73" s="1"/>
  <c r="W468" i="73" a="1"/>
  <c r="W468" i="73" s="1"/>
  <c r="W474" i="73" a="1"/>
  <c r="W474" i="73" s="1"/>
  <c r="W4" i="73" a="1"/>
  <c r="W4" i="73" s="1"/>
  <c r="W9" i="73" a="1"/>
  <c r="W9" i="73" s="1"/>
  <c r="W14" i="73" a="1"/>
  <c r="W14" i="73" s="1"/>
  <c r="W20" i="73" a="1"/>
  <c r="W20" i="73" s="1"/>
  <c r="W25" i="73" a="1"/>
  <c r="W25" i="73" s="1"/>
  <c r="W36" i="73" a="1"/>
  <c r="W36" i="73" s="1"/>
  <c r="W41" i="73" a="1"/>
  <c r="W41" i="73" s="1"/>
  <c r="W47" i="73" a="1"/>
  <c r="W47" i="73" s="1"/>
  <c r="W52" i="73" a="1"/>
  <c r="W52" i="73" s="1"/>
  <c r="W63" i="73" a="1"/>
  <c r="W63" i="73" s="1"/>
  <c r="W68" i="73" a="1"/>
  <c r="W68" i="73" s="1"/>
  <c r="W74" i="73" a="1"/>
  <c r="W74" i="73" s="1"/>
  <c r="W79" i="73" a="1"/>
  <c r="W79" i="73" s="1"/>
  <c r="W90" i="73" a="1"/>
  <c r="W90" i="73" s="1"/>
  <c r="W95" i="73" a="1"/>
  <c r="W95" i="73" s="1"/>
  <c r="W101" i="73" a="1"/>
  <c r="W101" i="73" s="1"/>
  <c r="W106" i="73" a="1"/>
  <c r="W106" i="73" s="1"/>
  <c r="W117" i="73" a="1"/>
  <c r="W117" i="73" s="1"/>
  <c r="W122" i="73" a="1"/>
  <c r="W122" i="73" s="1"/>
  <c r="W128" i="73" a="1"/>
  <c r="W128" i="73" s="1"/>
  <c r="W133" i="73" a="1"/>
  <c r="W133" i="73" s="1"/>
  <c r="W144" i="73" a="1"/>
  <c r="W144" i="73" s="1"/>
  <c r="W149" i="73" a="1"/>
  <c r="W149" i="73" s="1"/>
  <c r="W155" i="73" a="1"/>
  <c r="W155" i="73" s="1"/>
  <c r="W160" i="73" a="1"/>
  <c r="W160" i="73" s="1"/>
  <c r="W171" i="73" a="1"/>
  <c r="W171" i="73" s="1"/>
  <c r="W176" i="73" a="1"/>
  <c r="W176" i="73" s="1"/>
  <c r="W182" i="73" a="1"/>
  <c r="W182" i="73" s="1"/>
  <c r="W187" i="73" a="1"/>
  <c r="W187" i="73" s="1"/>
  <c r="W198" i="73" a="1"/>
  <c r="W198" i="73" s="1"/>
  <c r="W203" i="73" a="1"/>
  <c r="W203" i="73" s="1"/>
  <c r="W209" i="73" a="1"/>
  <c r="W209" i="73" s="1"/>
  <c r="W214" i="73" a="1"/>
  <c r="W214" i="73" s="1"/>
  <c r="W225" i="73" a="1"/>
  <c r="W225" i="73" s="1"/>
  <c r="W230" i="73" a="1"/>
  <c r="W230" i="73" s="1"/>
  <c r="W236" i="73" a="1"/>
  <c r="W236" i="73" s="1"/>
  <c r="W241" i="73" a="1"/>
  <c r="W241" i="73" s="1"/>
  <c r="W252" i="73" a="1"/>
  <c r="W252" i="73" s="1"/>
  <c r="W257" i="73" a="1"/>
  <c r="W257" i="73" s="1"/>
  <c r="W262" i="73" a="1"/>
  <c r="W262" i="73" s="1"/>
  <c r="W266" i="73" a="1"/>
  <c r="W266" i="73" s="1"/>
  <c r="W271" i="73" a="1"/>
  <c r="W271" i="73" s="1"/>
  <c r="W275" i="73" a="1"/>
  <c r="W275" i="73" s="1"/>
  <c r="W280" i="73" a="1"/>
  <c r="W280" i="73" s="1"/>
  <c r="W284" i="73" a="1"/>
  <c r="W284" i="73" s="1"/>
  <c r="W289" i="73" a="1"/>
  <c r="W289" i="73" s="1"/>
  <c r="W295" i="73" a="1"/>
  <c r="W295" i="73" s="1"/>
  <c r="W301" i="73" a="1"/>
  <c r="W301" i="73" s="1"/>
  <c r="W307" i="73" a="1"/>
  <c r="W307" i="73" s="1"/>
  <c r="W313" i="73" a="1"/>
  <c r="W313" i="73" s="1"/>
  <c r="W319" i="73" a="1"/>
  <c r="W319" i="73" s="1"/>
  <c r="W325" i="73" a="1"/>
  <c r="W325" i="73" s="1"/>
  <c r="W331" i="73" a="1"/>
  <c r="W331" i="73" s="1"/>
  <c r="W337" i="73" a="1"/>
  <c r="W337" i="73" s="1"/>
  <c r="W343" i="73" a="1"/>
  <c r="W343" i="73" s="1"/>
  <c r="W349" i="73" a="1"/>
  <c r="W349" i="73" s="1"/>
  <c r="W355" i="73" a="1"/>
  <c r="W355" i="73" s="1"/>
  <c r="W361" i="73" a="1"/>
  <c r="W361" i="73" s="1"/>
  <c r="W367" i="73" a="1"/>
  <c r="W367" i="73" s="1"/>
  <c r="W373" i="73" a="1"/>
  <c r="W373" i="73" s="1"/>
  <c r="W379" i="73" a="1"/>
  <c r="W379" i="73" s="1"/>
  <c r="W385" i="73" a="1"/>
  <c r="W385" i="73" s="1"/>
  <c r="W391" i="73" a="1"/>
  <c r="W391" i="73" s="1"/>
  <c r="W397" i="73" a="1"/>
  <c r="W397" i="73" s="1"/>
  <c r="W403" i="73" a="1"/>
  <c r="W403" i="73" s="1"/>
  <c r="W409" i="73" a="1"/>
  <c r="W409" i="73" s="1"/>
  <c r="W415" i="73" a="1"/>
  <c r="W415" i="73" s="1"/>
  <c r="W421" i="73" a="1"/>
  <c r="W421" i="73" s="1"/>
  <c r="W427" i="73" a="1"/>
  <c r="W427" i="73" s="1"/>
  <c r="W433" i="73" a="1"/>
  <c r="W433" i="73" s="1"/>
  <c r="W439" i="73" a="1"/>
  <c r="W439" i="73" s="1"/>
  <c r="W445" i="73" a="1"/>
  <c r="W445" i="73" s="1"/>
  <c r="W451" i="73" a="1"/>
  <c r="W451" i="73" s="1"/>
  <c r="W457" i="73" a="1"/>
  <c r="W457" i="73" s="1"/>
  <c r="W463" i="73" a="1"/>
  <c r="W463" i="73" s="1"/>
  <c r="W469" i="73" a="1"/>
  <c r="W469" i="73" s="1"/>
  <c r="W5" i="73" a="1"/>
  <c r="W5" i="73" s="1"/>
  <c r="W10" i="73" a="1"/>
  <c r="W10" i="73" s="1"/>
  <c r="W15" i="73" a="1"/>
  <c r="W15" i="73" s="1"/>
  <c r="W21" i="73" a="1"/>
  <c r="W21" i="73" s="1"/>
  <c r="W26" i="73" a="1"/>
  <c r="W26" i="73" s="1"/>
  <c r="W31" i="73" a="1"/>
  <c r="W31" i="73" s="1"/>
  <c r="W37" i="73" a="1"/>
  <c r="W37" i="73" s="1"/>
  <c r="W42" i="73" a="1"/>
  <c r="W42" i="73" s="1"/>
  <c r="W48" i="73" a="1"/>
  <c r="W48" i="73" s="1"/>
  <c r="W53" i="73" a="1"/>
  <c r="W53" i="73" s="1"/>
  <c r="W58" i="73" a="1"/>
  <c r="W58" i="73" s="1"/>
  <c r="W64" i="73" a="1"/>
  <c r="W64" i="73" s="1"/>
  <c r="W69" i="73" a="1"/>
  <c r="W69" i="73" s="1"/>
  <c r="W75" i="73" a="1"/>
  <c r="W75" i="73" s="1"/>
  <c r="W80" i="73" a="1"/>
  <c r="W80" i="73" s="1"/>
  <c r="W85" i="73" a="1"/>
  <c r="W85" i="73" s="1"/>
  <c r="W91" i="73" a="1"/>
  <c r="W91" i="73" s="1"/>
  <c r="W96" i="73" a="1"/>
  <c r="W96" i="73" s="1"/>
  <c r="W102" i="73" a="1"/>
  <c r="W102" i="73" s="1"/>
  <c r="W107" i="73" a="1"/>
  <c r="W107" i="73" s="1"/>
  <c r="W112" i="73" a="1"/>
  <c r="W112" i="73" s="1"/>
  <c r="W118" i="73" a="1"/>
  <c r="W118" i="73" s="1"/>
  <c r="W123" i="73" a="1"/>
  <c r="W123" i="73" s="1"/>
  <c r="W129" i="73" a="1"/>
  <c r="W129" i="73" s="1"/>
  <c r="W134" i="73" a="1"/>
  <c r="W134" i="73" s="1"/>
  <c r="W139" i="73" a="1"/>
  <c r="W139" i="73" s="1"/>
  <c r="W145" i="73" a="1"/>
  <c r="W145" i="73" s="1"/>
  <c r="W150" i="73" a="1"/>
  <c r="W150" i="73" s="1"/>
  <c r="W156" i="73" a="1"/>
  <c r="W156" i="73" s="1"/>
  <c r="W161" i="73" a="1"/>
  <c r="W161" i="73" s="1"/>
  <c r="W166" i="73" a="1"/>
  <c r="W166" i="73" s="1"/>
  <c r="W172" i="73" a="1"/>
  <c r="W172" i="73" s="1"/>
  <c r="W177" i="73" a="1"/>
  <c r="W177" i="73" s="1"/>
  <c r="W183" i="73" a="1"/>
  <c r="W183" i="73" s="1"/>
  <c r="W188" i="73" a="1"/>
  <c r="W188" i="73" s="1"/>
  <c r="W193" i="73" a="1"/>
  <c r="W193" i="73" s="1"/>
  <c r="W199" i="73" a="1"/>
  <c r="W199" i="73" s="1"/>
  <c r="W204" i="73" a="1"/>
  <c r="W204" i="73" s="1"/>
  <c r="W210" i="73" a="1"/>
  <c r="W210" i="73" s="1"/>
  <c r="W215" i="73" a="1"/>
  <c r="W215" i="73" s="1"/>
  <c r="W220" i="73" a="1"/>
  <c r="W220" i="73" s="1"/>
  <c r="W226" i="73" a="1"/>
  <c r="W226" i="73" s="1"/>
  <c r="W231" i="73" a="1"/>
  <c r="W231" i="73" s="1"/>
  <c r="W237" i="73" a="1"/>
  <c r="W237" i="73" s="1"/>
  <c r="W242" i="73" a="1"/>
  <c r="W242" i="73" s="1"/>
  <c r="W247" i="73" a="1"/>
  <c r="W247" i="73" s="1"/>
  <c r="W253" i="73" a="1"/>
  <c r="W253" i="73" s="1"/>
  <c r="W258" i="73" a="1"/>
  <c r="W258" i="73" s="1"/>
  <c r="W267" i="73" a="1"/>
  <c r="W267" i="73" s="1"/>
  <c r="W276" i="73" a="1"/>
  <c r="W276" i="73" s="1"/>
  <c r="W285" i="73" a="1"/>
  <c r="W285" i="73" s="1"/>
  <c r="W290" i="73" a="1"/>
  <c r="W290" i="73" s="1"/>
  <c r="W296" i="73" a="1"/>
  <c r="W296" i="73" s="1"/>
  <c r="W302" i="73" a="1"/>
  <c r="W302" i="73" s="1"/>
  <c r="W308" i="73" a="1"/>
  <c r="W308" i="73" s="1"/>
  <c r="W314" i="73" a="1"/>
  <c r="W314" i="73" s="1"/>
  <c r="W320" i="73" a="1"/>
  <c r="W320" i="73" s="1"/>
  <c r="W326" i="73" a="1"/>
  <c r="W326" i="73" s="1"/>
  <c r="W332" i="73" a="1"/>
  <c r="W332" i="73" s="1"/>
  <c r="W338" i="73" a="1"/>
  <c r="W338" i="73" s="1"/>
  <c r="W344" i="73" a="1"/>
  <c r="W344" i="73" s="1"/>
  <c r="W350" i="73" a="1"/>
  <c r="W350" i="73" s="1"/>
  <c r="W356" i="73" a="1"/>
  <c r="W356" i="73" s="1"/>
  <c r="W362" i="73" a="1"/>
  <c r="W362" i="73" s="1"/>
  <c r="W368" i="73" a="1"/>
  <c r="W368" i="73" s="1"/>
  <c r="W374" i="73" a="1"/>
  <c r="W374" i="73" s="1"/>
  <c r="W380" i="73" a="1"/>
  <c r="W380" i="73" s="1"/>
  <c r="W386" i="73" a="1"/>
  <c r="W386" i="73" s="1"/>
  <c r="W392" i="73" a="1"/>
  <c r="W392" i="73" s="1"/>
  <c r="W398" i="73" a="1"/>
  <c r="W398" i="73" s="1"/>
  <c r="W404" i="73" a="1"/>
  <c r="W404" i="73" s="1"/>
  <c r="W410" i="73" a="1"/>
  <c r="W410" i="73" s="1"/>
  <c r="W416" i="73" a="1"/>
  <c r="W416" i="73" s="1"/>
  <c r="W422" i="73" a="1"/>
  <c r="W422" i="73" s="1"/>
  <c r="W428" i="73" a="1"/>
  <c r="W428" i="73" s="1"/>
  <c r="W434" i="73" a="1"/>
  <c r="W434" i="73" s="1"/>
  <c r="W440" i="73" a="1"/>
  <c r="W440" i="73" s="1"/>
  <c r="W446" i="73" a="1"/>
  <c r="W446" i="73" s="1"/>
  <c r="W452" i="73" a="1"/>
  <c r="W452" i="73" s="1"/>
  <c r="W458" i="73" a="1"/>
  <c r="W458" i="73" s="1"/>
  <c r="W464" i="73" a="1"/>
  <c r="W464" i="73" s="1"/>
  <c r="W470" i="73" a="1"/>
  <c r="W470" i="73" s="1"/>
  <c r="W6" i="73" a="1"/>
  <c r="W6" i="73" s="1"/>
  <c r="W11" i="73" a="1"/>
  <c r="W11" i="73" s="1"/>
  <c r="W16" i="73" a="1"/>
  <c r="W16" i="73" s="1"/>
  <c r="W27" i="73" a="1"/>
  <c r="W27" i="73" s="1"/>
  <c r="W32" i="73" a="1"/>
  <c r="W32" i="73" s="1"/>
  <c r="W38" i="73" a="1"/>
  <c r="W38" i="73" s="1"/>
  <c r="W43" i="73" a="1"/>
  <c r="W43" i="73" s="1"/>
  <c r="W54" i="73" a="1"/>
  <c r="W54" i="73" s="1"/>
  <c r="W59" i="73" a="1"/>
  <c r="W59" i="73" s="1"/>
  <c r="W65" i="73" a="1"/>
  <c r="W65" i="73" s="1"/>
  <c r="W70" i="73" a="1"/>
  <c r="W70" i="73" s="1"/>
  <c r="W81" i="73" a="1"/>
  <c r="W81" i="73" s="1"/>
  <c r="W86" i="73" a="1"/>
  <c r="W86" i="73" s="1"/>
  <c r="W92" i="73" a="1"/>
  <c r="W92" i="73" s="1"/>
  <c r="W97" i="73" a="1"/>
  <c r="W97" i="73" s="1"/>
  <c r="W108" i="73" a="1"/>
  <c r="W108" i="73" s="1"/>
  <c r="W113" i="73" a="1"/>
  <c r="W113" i="73" s="1"/>
  <c r="W119" i="73" a="1"/>
  <c r="W119" i="73" s="1"/>
  <c r="W124" i="73" a="1"/>
  <c r="W124" i="73" s="1"/>
  <c r="W135" i="73" a="1"/>
  <c r="W135" i="73" s="1"/>
  <c r="W140" i="73" a="1"/>
  <c r="W140" i="73" s="1"/>
  <c r="W146" i="73" a="1"/>
  <c r="W146" i="73" s="1"/>
  <c r="W151" i="73" a="1"/>
  <c r="W151" i="73" s="1"/>
  <c r="W162" i="73" a="1"/>
  <c r="W162" i="73" s="1"/>
  <c r="W167" i="73" a="1"/>
  <c r="W167" i="73" s="1"/>
  <c r="W173" i="73" a="1"/>
  <c r="W173" i="73" s="1"/>
  <c r="W178" i="73" a="1"/>
  <c r="W178" i="73" s="1"/>
  <c r="W189" i="73" a="1"/>
  <c r="W189" i="73" s="1"/>
  <c r="W194" i="73" a="1"/>
  <c r="W194" i="73" s="1"/>
  <c r="W200" i="73" a="1"/>
  <c r="W200" i="73" s="1"/>
  <c r="W205" i="73" a="1"/>
  <c r="W205" i="73" s="1"/>
  <c r="W216" i="73" a="1"/>
  <c r="W216" i="73" s="1"/>
  <c r="W221" i="73" a="1"/>
  <c r="W221" i="73" s="1"/>
  <c r="W227" i="73" a="1"/>
  <c r="W227" i="73" s="1"/>
  <c r="W232" i="73" a="1"/>
  <c r="W232" i="73" s="1"/>
  <c r="W243" i="73" a="1"/>
  <c r="W243" i="73" s="1"/>
  <c r="W248" i="73" a="1"/>
  <c r="W248" i="73" s="1"/>
  <c r="W254" i="73" a="1"/>
  <c r="W254" i="73" s="1"/>
  <c r="W259" i="73" a="1"/>
  <c r="W259" i="73" s="1"/>
  <c r="W263" i="73" a="1"/>
  <c r="W263" i="73" s="1"/>
  <c r="W268" i="73" a="1"/>
  <c r="W268" i="73" s="1"/>
  <c r="W272" i="73" a="1"/>
  <c r="W272" i="73" s="1"/>
  <c r="W277" i="73" a="1"/>
  <c r="W277" i="73" s="1"/>
  <c r="W281" i="73" a="1"/>
  <c r="W281" i="73" s="1"/>
  <c r="W286" i="73" a="1"/>
  <c r="W286" i="73" s="1"/>
  <c r="W291" i="73" a="1"/>
  <c r="W291" i="73" s="1"/>
  <c r="W297" i="73" a="1"/>
  <c r="W297" i="73" s="1"/>
  <c r="W303" i="73" a="1"/>
  <c r="W303" i="73" s="1"/>
  <c r="W309" i="73" a="1"/>
  <c r="W309" i="73" s="1"/>
  <c r="W315" i="73" a="1"/>
  <c r="W315" i="73" s="1"/>
  <c r="W321" i="73" a="1"/>
  <c r="W321" i="73" s="1"/>
  <c r="W327" i="73" a="1"/>
  <c r="W327" i="73" s="1"/>
  <c r="W333" i="73" a="1"/>
  <c r="W333" i="73" s="1"/>
  <c r="W339" i="73" a="1"/>
  <c r="W339" i="73" s="1"/>
  <c r="W345" i="73" a="1"/>
  <c r="W345" i="73" s="1"/>
  <c r="W351" i="73" a="1"/>
  <c r="W351" i="73" s="1"/>
  <c r="W357" i="73" a="1"/>
  <c r="W357" i="73" s="1"/>
  <c r="W363" i="73" a="1"/>
  <c r="W363" i="73" s="1"/>
  <c r="W369" i="73" a="1"/>
  <c r="W369" i="73" s="1"/>
  <c r="W375" i="73" a="1"/>
  <c r="W375" i="73" s="1"/>
  <c r="W381" i="73" a="1"/>
  <c r="W381" i="73" s="1"/>
  <c r="W387" i="73" a="1"/>
  <c r="W387" i="73" s="1"/>
  <c r="W393" i="73" a="1"/>
  <c r="W393" i="73" s="1"/>
  <c r="W399" i="73" a="1"/>
  <c r="W399" i="73" s="1"/>
  <c r="W405" i="73" a="1"/>
  <c r="W405" i="73" s="1"/>
  <c r="W411" i="73" a="1"/>
  <c r="W411" i="73" s="1"/>
  <c r="W417" i="73" a="1"/>
  <c r="W417" i="73" s="1"/>
  <c r="W423" i="73" a="1"/>
  <c r="W423" i="73" s="1"/>
  <c r="W429" i="73" a="1"/>
  <c r="W429" i="73" s="1"/>
  <c r="W435" i="73" a="1"/>
  <c r="W435" i="73" s="1"/>
  <c r="W441" i="73" a="1"/>
  <c r="W441" i="73" s="1"/>
  <c r="W447" i="73" a="1"/>
  <c r="W447" i="73" s="1"/>
  <c r="W453" i="73" a="1"/>
  <c r="W453" i="73" s="1"/>
  <c r="W459" i="73" a="1"/>
  <c r="W459" i="73" s="1"/>
  <c r="W465" i="73" a="1"/>
  <c r="W465" i="73" s="1"/>
  <c r="W471" i="73" a="1"/>
  <c r="W471" i="73" s="1"/>
  <c r="W12" i="73" a="1"/>
  <c r="W12" i="73" s="1"/>
  <c r="W28" i="73" a="1"/>
  <c r="W28" i="73" s="1"/>
  <c r="W44" i="73" a="1"/>
  <c r="W44" i="73" s="1"/>
  <c r="W60" i="73" a="1"/>
  <c r="W60" i="73" s="1"/>
  <c r="W76" i="73" a="1"/>
  <c r="W76" i="73" s="1"/>
  <c r="W93" i="73" a="1"/>
  <c r="W93" i="73" s="1"/>
  <c r="W109" i="73" a="1"/>
  <c r="W109" i="73" s="1"/>
  <c r="W125" i="73" a="1"/>
  <c r="W125" i="73" s="1"/>
  <c r="W141" i="73" a="1"/>
  <c r="W141" i="73" s="1"/>
  <c r="W157" i="73" a="1"/>
  <c r="W157" i="73" s="1"/>
  <c r="W174" i="73" a="1"/>
  <c r="W174" i="73" s="1"/>
  <c r="W190" i="73" a="1"/>
  <c r="W190" i="73" s="1"/>
  <c r="W206" i="73" a="1"/>
  <c r="W206" i="73" s="1"/>
  <c r="W222" i="73" a="1"/>
  <c r="W222" i="73" s="1"/>
  <c r="W238" i="73" a="1"/>
  <c r="W238" i="73" s="1"/>
  <c r="W255" i="73" a="1"/>
  <c r="W255" i="73" s="1"/>
  <c r="W282" i="73" a="1"/>
  <c r="W282" i="73" s="1"/>
  <c r="W298" i="73" a="1"/>
  <c r="W298" i="73" s="1"/>
  <c r="W316" i="73" a="1"/>
  <c r="W316" i="73" s="1"/>
  <c r="W334" i="73" a="1"/>
  <c r="W334" i="73" s="1"/>
  <c r="W352" i="73" a="1"/>
  <c r="W352" i="73" s="1"/>
  <c r="W370" i="73" a="1"/>
  <c r="W370" i="73" s="1"/>
  <c r="W388" i="73" a="1"/>
  <c r="W388" i="73" s="1"/>
  <c r="W406" i="73" a="1"/>
  <c r="W406" i="73" s="1"/>
  <c r="W424" i="73" a="1"/>
  <c r="W424" i="73" s="1"/>
  <c r="W442" i="73" a="1"/>
  <c r="W442" i="73" s="1"/>
  <c r="W460" i="73" a="1"/>
  <c r="W460" i="73" s="1"/>
  <c r="W475" i="73" a="1"/>
  <c r="W475" i="73" s="1"/>
  <c r="W29" i="73" a="1"/>
  <c r="W29" i="73" s="1"/>
  <c r="W45" i="73" a="1"/>
  <c r="W45" i="73" s="1"/>
  <c r="W61" i="73" a="1"/>
  <c r="W61" i="73" s="1"/>
  <c r="W77" i="73" a="1"/>
  <c r="W77" i="73" s="1"/>
  <c r="W110" i="73" a="1"/>
  <c r="W110" i="73" s="1"/>
  <c r="W126" i="73" a="1"/>
  <c r="W126" i="73" s="1"/>
  <c r="W142" i="73" a="1"/>
  <c r="W142" i="73" s="1"/>
  <c r="W158" i="73" a="1"/>
  <c r="W158" i="73" s="1"/>
  <c r="W191" i="73" a="1"/>
  <c r="W191" i="73" s="1"/>
  <c r="W207" i="73" a="1"/>
  <c r="W207" i="73" s="1"/>
  <c r="W223" i="73" a="1"/>
  <c r="W223" i="73" s="1"/>
  <c r="W239" i="73" a="1"/>
  <c r="W239" i="73" s="1"/>
  <c r="W269" i="73" a="1"/>
  <c r="W269" i="73" s="1"/>
  <c r="W283" i="73" a="1"/>
  <c r="W283" i="73" s="1"/>
  <c r="W299" i="73" a="1"/>
  <c r="W299" i="73" s="1"/>
  <c r="W317" i="73" a="1"/>
  <c r="W317" i="73" s="1"/>
  <c r="W335" i="73" a="1"/>
  <c r="W335" i="73" s="1"/>
  <c r="W353" i="73" a="1"/>
  <c r="W353" i="73" s="1"/>
  <c r="W371" i="73" a="1"/>
  <c r="W371" i="73" s="1"/>
  <c r="W389" i="73" a="1"/>
  <c r="W389" i="73" s="1"/>
  <c r="W407" i="73" a="1"/>
  <c r="W407" i="73" s="1"/>
  <c r="W425" i="73" a="1"/>
  <c r="W425" i="73" s="1"/>
  <c r="W443" i="73" a="1"/>
  <c r="W443" i="73" s="1"/>
  <c r="W461" i="73" a="1"/>
  <c r="W461" i="73" s="1"/>
  <c r="W476" i="73" a="1"/>
  <c r="W476" i="73" s="1"/>
  <c r="W17" i="73" a="1"/>
  <c r="W17" i="73" s="1"/>
  <c r="W33" i="73" a="1"/>
  <c r="W33" i="73" s="1"/>
  <c r="W49" i="73" a="1"/>
  <c r="W49" i="73" s="1"/>
  <c r="W66" i="73" a="1"/>
  <c r="W66" i="73" s="1"/>
  <c r="W82" i="73" a="1"/>
  <c r="W82" i="73" s="1"/>
  <c r="W98" i="73" a="1"/>
  <c r="W98" i="73" s="1"/>
  <c r="W114" i="73" a="1"/>
  <c r="W114" i="73" s="1"/>
  <c r="W130" i="73" a="1"/>
  <c r="W130" i="73" s="1"/>
  <c r="W147" i="73" a="1"/>
  <c r="W147" i="73" s="1"/>
  <c r="W163" i="73" a="1"/>
  <c r="W163" i="73" s="1"/>
  <c r="W179" i="73" a="1"/>
  <c r="W179" i="73" s="1"/>
  <c r="W195" i="73" a="1"/>
  <c r="W195" i="73" s="1"/>
  <c r="W211" i="73" a="1"/>
  <c r="W211" i="73" s="1"/>
  <c r="W228" i="73" a="1"/>
  <c r="W228" i="73" s="1"/>
  <c r="W244" i="73" a="1"/>
  <c r="W244" i="73" s="1"/>
  <c r="W273" i="73" a="1"/>
  <c r="W273" i="73" s="1"/>
  <c r="W304" i="73" a="1"/>
  <c r="W304" i="73" s="1"/>
  <c r="W322" i="73" a="1"/>
  <c r="W322" i="73" s="1"/>
  <c r="W340" i="73" a="1"/>
  <c r="W340" i="73" s="1"/>
  <c r="W358" i="73" a="1"/>
  <c r="W358" i="73" s="1"/>
  <c r="W376" i="73" a="1"/>
  <c r="W376" i="73" s="1"/>
  <c r="W394" i="73" a="1"/>
  <c r="W394" i="73" s="1"/>
  <c r="W412" i="73" a="1"/>
  <c r="W412" i="73" s="1"/>
  <c r="W430" i="73" a="1"/>
  <c r="W430" i="73" s="1"/>
  <c r="W448" i="73" a="1"/>
  <c r="W448" i="73" s="1"/>
  <c r="W18" i="73" a="1"/>
  <c r="W18" i="73" s="1"/>
  <c r="W50" i="73" a="1"/>
  <c r="W50" i="73" s="1"/>
  <c r="W83" i="73" a="1"/>
  <c r="W83" i="73" s="1"/>
  <c r="W115" i="73" a="1"/>
  <c r="W115" i="73" s="1"/>
  <c r="W180" i="73" a="1"/>
  <c r="W180" i="73" s="1"/>
  <c r="W212" i="73" a="1"/>
  <c r="W212" i="73" s="1"/>
  <c r="W245" i="73" a="1"/>
  <c r="W245" i="73" s="1"/>
  <c r="W274" i="73" a="1"/>
  <c r="W274" i="73" s="1"/>
  <c r="W305" i="73" a="1"/>
  <c r="W305" i="73" s="1"/>
  <c r="W341" i="73" a="1"/>
  <c r="W341" i="73" s="1"/>
  <c r="W377" i="73" a="1"/>
  <c r="W377" i="73" s="1"/>
  <c r="W413" i="73" a="1"/>
  <c r="W413" i="73" s="1"/>
  <c r="W449" i="73" a="1"/>
  <c r="W449" i="73" s="1"/>
  <c r="W473" i="73" a="1"/>
  <c r="W473" i="73" s="1"/>
  <c r="W22" i="73" a="1"/>
  <c r="W22" i="73" s="1"/>
  <c r="W55" i="73" a="1"/>
  <c r="W55" i="73" s="1"/>
  <c r="W87" i="73" a="1"/>
  <c r="W87" i="73" s="1"/>
  <c r="W120" i="73" a="1"/>
  <c r="W120" i="73" s="1"/>
  <c r="W152" i="73" a="1"/>
  <c r="W152" i="73" s="1"/>
  <c r="W184" i="73" a="1"/>
  <c r="W184" i="73" s="1"/>
  <c r="W217" i="73" a="1"/>
  <c r="W217" i="73" s="1"/>
  <c r="W249" i="73" a="1"/>
  <c r="W249" i="73" s="1"/>
  <c r="W310" i="73" a="1"/>
  <c r="W310" i="73" s="1"/>
  <c r="W346" i="73" a="1"/>
  <c r="W346" i="73" s="1"/>
  <c r="W382" i="73" a="1"/>
  <c r="W382" i="73" s="1"/>
  <c r="W418" i="73" a="1"/>
  <c r="W418" i="73" s="1"/>
  <c r="W454" i="73" a="1"/>
  <c r="W454" i="73" s="1"/>
  <c r="W477" i="73" a="1"/>
  <c r="W477" i="73" s="1"/>
  <c r="W23" i="73" a="1"/>
  <c r="W23" i="73" s="1"/>
  <c r="W56" i="73" a="1"/>
  <c r="W56" i="73" s="1"/>
  <c r="W88" i="73" a="1"/>
  <c r="W88" i="73" s="1"/>
  <c r="W153" i="73" a="1"/>
  <c r="W153" i="73" s="1"/>
  <c r="W185" i="73" a="1"/>
  <c r="W185" i="73" s="1"/>
  <c r="W218" i="73" a="1"/>
  <c r="W218" i="73" s="1"/>
  <c r="W250" i="73" a="1"/>
  <c r="W250" i="73" s="1"/>
  <c r="W278" i="73" a="1"/>
  <c r="W278" i="73" s="1"/>
  <c r="W311" i="73" a="1"/>
  <c r="W311" i="73" s="1"/>
  <c r="W347" i="73" a="1"/>
  <c r="W347" i="73" s="1"/>
  <c r="W383" i="73" a="1"/>
  <c r="W383" i="73" s="1"/>
  <c r="W419" i="73" a="1"/>
  <c r="W419" i="73" s="1"/>
  <c r="W455" i="73" a="1"/>
  <c r="W455" i="73" s="1"/>
  <c r="W3" i="73" a="1"/>
  <c r="W3" i="73" s="1"/>
  <c r="W34" i="73" a="1"/>
  <c r="W34" i="73" s="1"/>
  <c r="W99" i="73" a="1"/>
  <c r="W99" i="73" s="1"/>
  <c r="W131" i="73" a="1"/>
  <c r="W131" i="73" s="1"/>
  <c r="W164" i="73" a="1"/>
  <c r="W164" i="73" s="1"/>
  <c r="W196" i="73" a="1"/>
  <c r="W196" i="73" s="1"/>
  <c r="W260" i="73" a="1"/>
  <c r="W260" i="73" s="1"/>
  <c r="W287" i="73" a="1"/>
  <c r="W287" i="73" s="1"/>
  <c r="W323" i="73" a="1"/>
  <c r="W323" i="73" s="1"/>
  <c r="W359" i="73" a="1"/>
  <c r="W359" i="73" s="1"/>
  <c r="W395" i="73" a="1"/>
  <c r="W395" i="73" s="1"/>
  <c r="W431" i="73" a="1"/>
  <c r="W431" i="73" s="1"/>
  <c r="W466" i="73" a="1"/>
  <c r="W466" i="73" s="1"/>
  <c r="W39" i="73" a="1"/>
  <c r="W39" i="73" s="1"/>
  <c r="W71" i="73" a="1"/>
  <c r="W71" i="73" s="1"/>
  <c r="W103" i="73" a="1"/>
  <c r="W103" i="73" s="1"/>
  <c r="W136" i="73" a="1"/>
  <c r="W136" i="73" s="1"/>
  <c r="W168" i="73" a="1"/>
  <c r="W168" i="73" s="1"/>
  <c r="W201" i="73" a="1"/>
  <c r="W201" i="73" s="1"/>
  <c r="W233" i="73" a="1"/>
  <c r="W233" i="73" s="1"/>
  <c r="W264" i="73" a="1"/>
  <c r="W264" i="73" s="1"/>
  <c r="W292" i="73" a="1"/>
  <c r="W292" i="73" s="1"/>
  <c r="W328" i="73" a="1"/>
  <c r="W328" i="73" s="1"/>
  <c r="W364" i="73" a="1"/>
  <c r="W364" i="73" s="1"/>
  <c r="W400" i="73" a="1"/>
  <c r="W400" i="73" s="1"/>
  <c r="W436" i="73" a="1"/>
  <c r="W436" i="73" s="1"/>
  <c r="W467" i="73" a="1"/>
  <c r="W467" i="73" s="1"/>
  <c r="W7" i="73" a="1"/>
  <c r="W7" i="73" s="1"/>
  <c r="W72" i="73" a="1"/>
  <c r="W72" i="73" s="1"/>
  <c r="W104" i="73" a="1"/>
  <c r="W104" i="73" s="1"/>
  <c r="W137" i="73" a="1"/>
  <c r="W137" i="73" s="1"/>
  <c r="W169" i="73" a="1"/>
  <c r="W169" i="73" s="1"/>
  <c r="W234" i="73" a="1"/>
  <c r="W234" i="73" s="1"/>
  <c r="W265" i="73" a="1"/>
  <c r="W265" i="73" s="1"/>
  <c r="W293" i="73" a="1"/>
  <c r="W293" i="73" s="1"/>
  <c r="W329" i="73" a="1"/>
  <c r="W329" i="73" s="1"/>
  <c r="W365" i="73" a="1"/>
  <c r="W365" i="73" s="1"/>
  <c r="W401" i="73" a="1"/>
  <c r="W401" i="73" s="1"/>
  <c r="W437" i="73" a="1"/>
  <c r="W437" i="73" s="1"/>
  <c r="W472" i="73" a="1"/>
  <c r="W472" i="73" s="1"/>
  <c r="AK2" i="73"/>
  <c r="AL11" i="73" l="1" a="1"/>
  <c r="AL11" i="73" s="1"/>
  <c r="AL17" i="73" a="1"/>
  <c r="AL17" i="73" s="1"/>
  <c r="AL27" i="73" a="1"/>
  <c r="AL27" i="73" s="1"/>
  <c r="AL32" i="73" a="1"/>
  <c r="AL32" i="73" s="1"/>
  <c r="AL38" i="73" a="1"/>
  <c r="AL38" i="73" s="1"/>
  <c r="AL43" i="73" a="1"/>
  <c r="AL43" i="73" s="1"/>
  <c r="AL48" i="73" a="1"/>
  <c r="AL48" i="73" s="1"/>
  <c r="AL53" i="73" a="1"/>
  <c r="AL53" i="73" s="1"/>
  <c r="AL63" i="73" a="1"/>
  <c r="AL63" i="73" s="1"/>
  <c r="AL67" i="73" a="1"/>
  <c r="AL67" i="73" s="1"/>
  <c r="AL73" i="73" a="1"/>
  <c r="AL73" i="73" s="1"/>
  <c r="AL77" i="73" a="1"/>
  <c r="AL77" i="73" s="1"/>
  <c r="AL87" i="73" a="1"/>
  <c r="AL87" i="73" s="1"/>
  <c r="AL92" i="73" a="1"/>
  <c r="AL92" i="73" s="1"/>
  <c r="AL97" i="73" a="1"/>
  <c r="AL97" i="73" s="1"/>
  <c r="AL102" i="73" a="1"/>
  <c r="AL102" i="73" s="1"/>
  <c r="AL107" i="73" a="1"/>
  <c r="AL107" i="73" s="1"/>
  <c r="AL117" i="73" a="1"/>
  <c r="AL117" i="73" s="1"/>
  <c r="AL121" i="73" a="1"/>
  <c r="AL121" i="73" s="1"/>
  <c r="AL127" i="73" a="1"/>
  <c r="AL127" i="73" s="1"/>
  <c r="AL131" i="73" a="1"/>
  <c r="AL131" i="73" s="1"/>
  <c r="AL141" i="73" a="1"/>
  <c r="AL141" i="73" s="1"/>
  <c r="AL146" i="73" a="1"/>
  <c r="AL146" i="73" s="1"/>
  <c r="AL151" i="73" a="1"/>
  <c r="AL151" i="73" s="1"/>
  <c r="AL156" i="73" a="1"/>
  <c r="AL156" i="73" s="1"/>
  <c r="AL161" i="73" a="1"/>
  <c r="AL161" i="73" s="1"/>
  <c r="AL171" i="73" a="1"/>
  <c r="AL171" i="73" s="1"/>
  <c r="AL175" i="73" a="1"/>
  <c r="AL175" i="73" s="1"/>
  <c r="AL181" i="73" a="1"/>
  <c r="AL181" i="73" s="1"/>
  <c r="AL185" i="73" a="1"/>
  <c r="AL185" i="73" s="1"/>
  <c r="AL195" i="73" a="1"/>
  <c r="AL195" i="73" s="1"/>
  <c r="AL200" i="73" a="1"/>
  <c r="AL200" i="73" s="1"/>
  <c r="AL205" i="73" a="1"/>
  <c r="AL205" i="73" s="1"/>
  <c r="AL210" i="73" a="1"/>
  <c r="AL210" i="73" s="1"/>
  <c r="AL215" i="73" a="1"/>
  <c r="AL215" i="73" s="1"/>
  <c r="AL225" i="73" a="1"/>
  <c r="AL225" i="73" s="1"/>
  <c r="AL229" i="73" a="1"/>
  <c r="AL229" i="73" s="1"/>
  <c r="AL235" i="73" a="1"/>
  <c r="AL235" i="73" s="1"/>
  <c r="AL239" i="73" a="1"/>
  <c r="AL239" i="73" s="1"/>
  <c r="AL249" i="73" a="1"/>
  <c r="AL249" i="73" s="1"/>
  <c r="AL258" i="73" a="1"/>
  <c r="AL258" i="73" s="1"/>
  <c r="AL262" i="73" a="1"/>
  <c r="AL262" i="73" s="1"/>
  <c r="AL266" i="73" a="1"/>
  <c r="AL266" i="73" s="1"/>
  <c r="AL271" i="73" a="1"/>
  <c r="AL271" i="73" s="1"/>
  <c r="AL275" i="73" a="1"/>
  <c r="AL275" i="73" s="1"/>
  <c r="AL280" i="73" a="1"/>
  <c r="AL280" i="73" s="1"/>
  <c r="AL284" i="73" a="1"/>
  <c r="AL284" i="73" s="1"/>
  <c r="AL7" i="73" a="1"/>
  <c r="AL7" i="73" s="1"/>
  <c r="AL12" i="73" a="1"/>
  <c r="AL12" i="73" s="1"/>
  <c r="AL18" i="73" a="1"/>
  <c r="AL18" i="73" s="1"/>
  <c r="AL22" i="73" a="1"/>
  <c r="AL22" i="73" s="1"/>
  <c r="AL28" i="73" a="1"/>
  <c r="AL28" i="73" s="1"/>
  <c r="AL33" i="73" a="1"/>
  <c r="AL33" i="73" s="1"/>
  <c r="AL39" i="73" a="1"/>
  <c r="AL39" i="73" s="1"/>
  <c r="AL44" i="73" a="1"/>
  <c r="AL44" i="73" s="1"/>
  <c r="AL54" i="73" a="1"/>
  <c r="AL54" i="73" s="1"/>
  <c r="AL58" i="73" a="1"/>
  <c r="AL58" i="73" s="1"/>
  <c r="AL64" i="73" a="1"/>
  <c r="AL64" i="73" s="1"/>
  <c r="AL68" i="73" a="1"/>
  <c r="AL68" i="73" s="1"/>
  <c r="AL78" i="73" a="1"/>
  <c r="AL78" i="73" s="1"/>
  <c r="AL83" i="73" a="1"/>
  <c r="AL83" i="73" s="1"/>
  <c r="AL88" i="73" a="1"/>
  <c r="AL88" i="73" s="1"/>
  <c r="AL93" i="73" a="1"/>
  <c r="AL93" i="73" s="1"/>
  <c r="AL98" i="73" a="1"/>
  <c r="AL98" i="73" s="1"/>
  <c r="AL108" i="73" a="1"/>
  <c r="AL108" i="73" s="1"/>
  <c r="AL112" i="73" a="1"/>
  <c r="AL112" i="73" s="1"/>
  <c r="AL118" i="73" a="1"/>
  <c r="AL118" i="73" s="1"/>
  <c r="AL122" i="73" a="1"/>
  <c r="AL122" i="73" s="1"/>
  <c r="AL132" i="73" a="1"/>
  <c r="AL132" i="73" s="1"/>
  <c r="AL137" i="73" a="1"/>
  <c r="AL137" i="73" s="1"/>
  <c r="AL142" i="73" a="1"/>
  <c r="AL142" i="73" s="1"/>
  <c r="AL147" i="73" a="1"/>
  <c r="AL147" i="73" s="1"/>
  <c r="AL152" i="73" a="1"/>
  <c r="AL152" i="73" s="1"/>
  <c r="AL162" i="73" a="1"/>
  <c r="AL162" i="73" s="1"/>
  <c r="AL166" i="73" a="1"/>
  <c r="AL166" i="73" s="1"/>
  <c r="AL172" i="73" a="1"/>
  <c r="AL172" i="73" s="1"/>
  <c r="AL176" i="73" a="1"/>
  <c r="AL176" i="73" s="1"/>
  <c r="AL186" i="73" a="1"/>
  <c r="AL186" i="73" s="1"/>
  <c r="AL191" i="73" a="1"/>
  <c r="AL191" i="73" s="1"/>
  <c r="AL196" i="73" a="1"/>
  <c r="AL196" i="73" s="1"/>
  <c r="AL201" i="73" a="1"/>
  <c r="AL201" i="73" s="1"/>
  <c r="AL206" i="73" a="1"/>
  <c r="AL206" i="73" s="1"/>
  <c r="AL216" i="73" a="1"/>
  <c r="AL216" i="73" s="1"/>
  <c r="AL220" i="73" a="1"/>
  <c r="AL220" i="73" s="1"/>
  <c r="AL226" i="73" a="1"/>
  <c r="AL226" i="73" s="1"/>
  <c r="AL230" i="73" a="1"/>
  <c r="AL230" i="73" s="1"/>
  <c r="AL240" i="73" a="1"/>
  <c r="AL240" i="73" s="1"/>
  <c r="AL245" i="73" a="1"/>
  <c r="AL245" i="73" s="1"/>
  <c r="AL250" i="73" a="1"/>
  <c r="AL250" i="73" s="1"/>
  <c r="AL254" i="73" a="1"/>
  <c r="AL254" i="73" s="1"/>
  <c r="AL259" i="73" a="1"/>
  <c r="AL259" i="73" s="1"/>
  <c r="AL267" i="73" a="1"/>
  <c r="AL267" i="73" s="1"/>
  <c r="AL276" i="73" a="1"/>
  <c r="AL276" i="73" s="1"/>
  <c r="AL285" i="73" a="1"/>
  <c r="AL285" i="73" s="1"/>
  <c r="AL294" i="73" a="1"/>
  <c r="AL294" i="73" s="1"/>
  <c r="AL304" i="73" a="1"/>
  <c r="AL304" i="73" s="1"/>
  <c r="AL8" i="73" a="1"/>
  <c r="AL8" i="73" s="1"/>
  <c r="AL13" i="73" a="1"/>
  <c r="AL13" i="73" s="1"/>
  <c r="AL19" i="73" a="1"/>
  <c r="AL19" i="73" s="1"/>
  <c r="AL23" i="73" a="1"/>
  <c r="AL23" i="73" s="1"/>
  <c r="AL34" i="73" a="1"/>
  <c r="AL34" i="73" s="1"/>
  <c r="AL45" i="73" a="1"/>
  <c r="AL45" i="73" s="1"/>
  <c r="AL49" i="73" a="1"/>
  <c r="AL49" i="73" s="1"/>
  <c r="AL55" i="73" a="1"/>
  <c r="AL55" i="73" s="1"/>
  <c r="AL59" i="73" a="1"/>
  <c r="AL59" i="73" s="1"/>
  <c r="AL69" i="73" a="1"/>
  <c r="AL69" i="73" s="1"/>
  <c r="AL74" i="73" a="1"/>
  <c r="AL74" i="73" s="1"/>
  <c r="AL84" i="73" a="1"/>
  <c r="AL84" i="73" s="1"/>
  <c r="AL89" i="73" a="1"/>
  <c r="AL89" i="73" s="1"/>
  <c r="AL99" i="73" a="1"/>
  <c r="AL99" i="73" s="1"/>
  <c r="AL103" i="73" a="1"/>
  <c r="AL103" i="73" s="1"/>
  <c r="AL109" i="73" a="1"/>
  <c r="AL109" i="73" s="1"/>
  <c r="AL113" i="73" a="1"/>
  <c r="AL113" i="73" s="1"/>
  <c r="AL5" i="73" a="1"/>
  <c r="AL5" i="73" s="1"/>
  <c r="AL10" i="73" a="1"/>
  <c r="AL10" i="73" s="1"/>
  <c r="AL15" i="73" a="1"/>
  <c r="AL15" i="73" s="1"/>
  <c r="AL20" i="73" a="1"/>
  <c r="AL20" i="73" s="1"/>
  <c r="AL25" i="73" a="1"/>
  <c r="AL25" i="73" s="1"/>
  <c r="AL30" i="73" a="1"/>
  <c r="AL30" i="73" s="1"/>
  <c r="AL36" i="73" a="1"/>
  <c r="AL36" i="73" s="1"/>
  <c r="AL41" i="73" a="1"/>
  <c r="AL41" i="73" s="1"/>
  <c r="AL51" i="73" a="1"/>
  <c r="AL51" i="73" s="1"/>
  <c r="AL56" i="73" a="1"/>
  <c r="AL56" i="73" s="1"/>
  <c r="AL61" i="73" a="1"/>
  <c r="AL61" i="73" s="1"/>
  <c r="AL66" i="73" a="1"/>
  <c r="AL66" i="73" s="1"/>
  <c r="AL71" i="73" a="1"/>
  <c r="AL71" i="73" s="1"/>
  <c r="AL81" i="73" a="1"/>
  <c r="AL81" i="73" s="1"/>
  <c r="AL85" i="73" a="1"/>
  <c r="AL85" i="73" s="1"/>
  <c r="AL91" i="73" a="1"/>
  <c r="AL91" i="73" s="1"/>
  <c r="AL95" i="73" a="1"/>
  <c r="AL95" i="73" s="1"/>
  <c r="AL105" i="73" a="1"/>
  <c r="AL105" i="73" s="1"/>
  <c r="AL110" i="73" a="1"/>
  <c r="AL110" i="73" s="1"/>
  <c r="AL115" i="73" a="1"/>
  <c r="AL115" i="73" s="1"/>
  <c r="AL120" i="73" a="1"/>
  <c r="AL120" i="73" s="1"/>
  <c r="AL125" i="73" a="1"/>
  <c r="AL125" i="73" s="1"/>
  <c r="AL135" i="73" a="1"/>
  <c r="AL135" i="73" s="1"/>
  <c r="AL139" i="73" a="1"/>
  <c r="AL139" i="73" s="1"/>
  <c r="AL145" i="73" a="1"/>
  <c r="AL145" i="73" s="1"/>
  <c r="AL149" i="73" a="1"/>
  <c r="AL149" i="73" s="1"/>
  <c r="AL159" i="73" a="1"/>
  <c r="AL159" i="73" s="1"/>
  <c r="AL164" i="73" a="1"/>
  <c r="AL164" i="73" s="1"/>
  <c r="AL169" i="73" a="1"/>
  <c r="AL169" i="73" s="1"/>
  <c r="AL174" i="73" a="1"/>
  <c r="AL174" i="73" s="1"/>
  <c r="AL179" i="73" a="1"/>
  <c r="AL179" i="73" s="1"/>
  <c r="AL189" i="73" a="1"/>
  <c r="AL189" i="73" s="1"/>
  <c r="AL193" i="73" a="1"/>
  <c r="AL193" i="73" s="1"/>
  <c r="AL199" i="73" a="1"/>
  <c r="AL199" i="73" s="1"/>
  <c r="AL203" i="73" a="1"/>
  <c r="AL203" i="73" s="1"/>
  <c r="AL213" i="73" a="1"/>
  <c r="AL213" i="73" s="1"/>
  <c r="AL218" i="73" a="1"/>
  <c r="AL218" i="73" s="1"/>
  <c r="AL223" i="73" a="1"/>
  <c r="AL223" i="73" s="1"/>
  <c r="AL228" i="73" a="1"/>
  <c r="AL228" i="73" s="1"/>
  <c r="AL233" i="73" a="1"/>
  <c r="AL233" i="73" s="1"/>
  <c r="AL243" i="73" a="1"/>
  <c r="AL243" i="73" s="1"/>
  <c r="AL247" i="73" a="1"/>
  <c r="AL247" i="73" s="1"/>
  <c r="AL256" i="73" a="1"/>
  <c r="AL256" i="73" s="1"/>
  <c r="AL265" i="73" a="1"/>
  <c r="AL265" i="73" s="1"/>
  <c r="AL269" i="73" a="1"/>
  <c r="AL269" i="73" s="1"/>
  <c r="AL274" i="73" a="1"/>
  <c r="AL274" i="73" s="1"/>
  <c r="AL278" i="73" a="1"/>
  <c r="AL278" i="73" s="1"/>
  <c r="AL283" i="73" a="1"/>
  <c r="AL283" i="73" s="1"/>
  <c r="AL287" i="73" a="1"/>
  <c r="AL287" i="73" s="1"/>
  <c r="AL292" i="73" a="1"/>
  <c r="AL292" i="73" s="1"/>
  <c r="AL296" i="73" a="1"/>
  <c r="AL296" i="73" s="1"/>
  <c r="AL301" i="73" a="1"/>
  <c r="AL301" i="73" s="1"/>
  <c r="AL307" i="73" a="1"/>
  <c r="AL307" i="73" s="1"/>
  <c r="AL6" i="73" a="1"/>
  <c r="AL6" i="73" s="1"/>
  <c r="AL16" i="73" a="1"/>
  <c r="AL16" i="73" s="1"/>
  <c r="AL21" i="73" a="1"/>
  <c r="AL21" i="73" s="1"/>
  <c r="AL26" i="73" a="1"/>
  <c r="AL26" i="73" s="1"/>
  <c r="AL31" i="73" a="1"/>
  <c r="AL31" i="73" s="1"/>
  <c r="AL37" i="73" a="1"/>
  <c r="AL37" i="73" s="1"/>
  <c r="AL42" i="73" a="1"/>
  <c r="AL42" i="73" s="1"/>
  <c r="AL47" i="73" a="1"/>
  <c r="AL47" i="73" s="1"/>
  <c r="AL52" i="73" a="1"/>
  <c r="AL52" i="73" s="1"/>
  <c r="AL57" i="73" a="1"/>
  <c r="AL57" i="73" s="1"/>
  <c r="AL62" i="73" a="1"/>
  <c r="AL62" i="73" s="1"/>
  <c r="AL72" i="73" a="1"/>
  <c r="AL72" i="73" s="1"/>
  <c r="AL76" i="73" a="1"/>
  <c r="AL76" i="73" s="1"/>
  <c r="AL82" i="73" a="1"/>
  <c r="AL82" i="73" s="1"/>
  <c r="AL86" i="73" a="1"/>
  <c r="AL86" i="73" s="1"/>
  <c r="AL96" i="73" a="1"/>
  <c r="AL96" i="73" s="1"/>
  <c r="AL101" i="73" a="1"/>
  <c r="AL101" i="73" s="1"/>
  <c r="AL106" i="73" a="1"/>
  <c r="AL106" i="73" s="1"/>
  <c r="AL111" i="73" a="1"/>
  <c r="AL111" i="73" s="1"/>
  <c r="AL219" i="73" a="1"/>
  <c r="AL219" i="73" s="1"/>
  <c r="AL24" i="73" a="1"/>
  <c r="AL24" i="73" s="1"/>
  <c r="AL80" i="73" a="1"/>
  <c r="AL80" i="73" s="1"/>
  <c r="AL123" i="73" a="1"/>
  <c r="AL123" i="73" s="1"/>
  <c r="AL133" i="73" a="1"/>
  <c r="AL133" i="73" s="1"/>
  <c r="AL143" i="73" a="1"/>
  <c r="AL143" i="73" s="1"/>
  <c r="AL153" i="73" a="1"/>
  <c r="AL153" i="73" s="1"/>
  <c r="AL163" i="73" a="1"/>
  <c r="AL163" i="73" s="1"/>
  <c r="AL182" i="73" a="1"/>
  <c r="AL182" i="73" s="1"/>
  <c r="AL192" i="73" a="1"/>
  <c r="AL192" i="73" s="1"/>
  <c r="AL211" i="73" a="1"/>
  <c r="AL211" i="73" s="1"/>
  <c r="AL221" i="73" a="1"/>
  <c r="AL221" i="73" s="1"/>
  <c r="AL231" i="73" a="1"/>
  <c r="AL231" i="73" s="1"/>
  <c r="AL241" i="73" a="1"/>
  <c r="AL241" i="73" s="1"/>
  <c r="AL251" i="73" a="1"/>
  <c r="AL251" i="73" s="1"/>
  <c r="AL268" i="73" a="1"/>
  <c r="AL268" i="73" s="1"/>
  <c r="AL277" i="73" a="1"/>
  <c r="AL277" i="73" s="1"/>
  <c r="AL286" i="73" a="1"/>
  <c r="AL286" i="73" s="1"/>
  <c r="AL299" i="73" a="1"/>
  <c r="AL299" i="73" s="1"/>
  <c r="AL3" i="73" a="1"/>
  <c r="AL3" i="73" s="1"/>
  <c r="AL29" i="73" a="1"/>
  <c r="AL29" i="73" s="1"/>
  <c r="AL60" i="73" a="1"/>
  <c r="AL60" i="73" s="1"/>
  <c r="AL114" i="73" a="1"/>
  <c r="AL114" i="73" s="1"/>
  <c r="AL124" i="73" a="1"/>
  <c r="AL124" i="73" s="1"/>
  <c r="AL134" i="73" a="1"/>
  <c r="AL134" i="73" s="1"/>
  <c r="AL144" i="73" a="1"/>
  <c r="AL144" i="73" s="1"/>
  <c r="AL154" i="73" a="1"/>
  <c r="AL154" i="73" s="1"/>
  <c r="AL173" i="73" a="1"/>
  <c r="AL173" i="73" s="1"/>
  <c r="AL183" i="73" a="1"/>
  <c r="AL183" i="73" s="1"/>
  <c r="AL202" i="73" a="1"/>
  <c r="AL202" i="73" s="1"/>
  <c r="AL212" i="73" a="1"/>
  <c r="AL212" i="73" s="1"/>
  <c r="AL222" i="73" a="1"/>
  <c r="AL222" i="73" s="1"/>
  <c r="AL232" i="73" a="1"/>
  <c r="AL232" i="73" s="1"/>
  <c r="AL242" i="73" a="1"/>
  <c r="AL242" i="73" s="1"/>
  <c r="AL252" i="73" a="1"/>
  <c r="AL252" i="73" s="1"/>
  <c r="AL260" i="73" a="1"/>
  <c r="AL260" i="73" s="1"/>
  <c r="AL293" i="73" a="1"/>
  <c r="AL293" i="73" s="1"/>
  <c r="AL300" i="73" a="1"/>
  <c r="AL300" i="73" s="1"/>
  <c r="AL4" i="73" a="1"/>
  <c r="AL4" i="73" s="1"/>
  <c r="AL35" i="73" a="1"/>
  <c r="AL35" i="73" s="1"/>
  <c r="AL65" i="73" a="1"/>
  <c r="AL65" i="73" s="1"/>
  <c r="AL90" i="73" a="1"/>
  <c r="AL90" i="73" s="1"/>
  <c r="AL116" i="73" a="1"/>
  <c r="AL116" i="73" s="1"/>
  <c r="AL126" i="73" a="1"/>
  <c r="AL126" i="73" s="1"/>
  <c r="AL136" i="73" a="1"/>
  <c r="AL136" i="73" s="1"/>
  <c r="AL155" i="73" a="1"/>
  <c r="AL155" i="73" s="1"/>
  <c r="AL165" i="73" a="1"/>
  <c r="AL165" i="73" s="1"/>
  <c r="AL184" i="73" a="1"/>
  <c r="AL184" i="73" s="1"/>
  <c r="AL194" i="73" a="1"/>
  <c r="AL194" i="73" s="1"/>
  <c r="AL204" i="73" a="1"/>
  <c r="AL204" i="73" s="1"/>
  <c r="AL214" i="73" a="1"/>
  <c r="AL214" i="73" s="1"/>
  <c r="AL224" i="73" a="1"/>
  <c r="AL224" i="73" s="1"/>
  <c r="AL234" i="73" a="1"/>
  <c r="AL234" i="73" s="1"/>
  <c r="AL253" i="73" a="1"/>
  <c r="AL253" i="73" s="1"/>
  <c r="AL261" i="73" a="1"/>
  <c r="AL261" i="73" s="1"/>
  <c r="AL279" i="73" a="1"/>
  <c r="AL279" i="73" s="1"/>
  <c r="AL295" i="73" a="1"/>
  <c r="AL295" i="73" s="1"/>
  <c r="AL9" i="73" a="1"/>
  <c r="AL9" i="73" s="1"/>
  <c r="AL40" i="73" a="1"/>
  <c r="AL40" i="73" s="1"/>
  <c r="AL70" i="73" a="1"/>
  <c r="AL70" i="73" s="1"/>
  <c r="AL94" i="73" a="1"/>
  <c r="AL94" i="73" s="1"/>
  <c r="AL128" i="73" a="1"/>
  <c r="AL128" i="73" s="1"/>
  <c r="AL138" i="73" a="1"/>
  <c r="AL138" i="73" s="1"/>
  <c r="AL157" i="73" a="1"/>
  <c r="AL157" i="73" s="1"/>
  <c r="AL167" i="73" a="1"/>
  <c r="AL167" i="73" s="1"/>
  <c r="AL177" i="73" a="1"/>
  <c r="AL177" i="73" s="1"/>
  <c r="AL187" i="73" a="1"/>
  <c r="AL187" i="73" s="1"/>
  <c r="AL197" i="73" a="1"/>
  <c r="AL197" i="73" s="1"/>
  <c r="AL207" i="73" a="1"/>
  <c r="AL207" i="73" s="1"/>
  <c r="AL217" i="73" a="1"/>
  <c r="AL217" i="73" s="1"/>
  <c r="AL236" i="73" a="1"/>
  <c r="AL236" i="73" s="1"/>
  <c r="AL246" i="73" a="1"/>
  <c r="AL246" i="73" s="1"/>
  <c r="AL255" i="73" a="1"/>
  <c r="AL255" i="73" s="1"/>
  <c r="AL263" i="73" a="1"/>
  <c r="AL263" i="73" s="1"/>
  <c r="AL272" i="73" a="1"/>
  <c r="AL272" i="73" s="1"/>
  <c r="AL281" i="73" a="1"/>
  <c r="AL281" i="73" s="1"/>
  <c r="AL289" i="73" a="1"/>
  <c r="AL289" i="73" s="1"/>
  <c r="AL303" i="73" a="1"/>
  <c r="AL303" i="73" s="1"/>
  <c r="AL14" i="73" a="1"/>
  <c r="AL14" i="73" s="1"/>
  <c r="AL46" i="73" a="1"/>
  <c r="AL46" i="73" s="1"/>
  <c r="AL75" i="73" a="1"/>
  <c r="AL75" i="73" s="1"/>
  <c r="AL100" i="73" a="1"/>
  <c r="AL100" i="73" s="1"/>
  <c r="AL119" i="73" a="1"/>
  <c r="AL119" i="73" s="1"/>
  <c r="AL129" i="73" a="1"/>
  <c r="AL129" i="73" s="1"/>
  <c r="AL148" i="73" a="1"/>
  <c r="AL148" i="73" s="1"/>
  <c r="AL158" i="73" a="1"/>
  <c r="AL158" i="73" s="1"/>
  <c r="AL168" i="73" a="1"/>
  <c r="AL168" i="73" s="1"/>
  <c r="AL178" i="73" a="1"/>
  <c r="AL178" i="73" s="1"/>
  <c r="AL188" i="73" a="1"/>
  <c r="AL188" i="73" s="1"/>
  <c r="AL198" i="73" a="1"/>
  <c r="AL198" i="73" s="1"/>
  <c r="AL208" i="73" a="1"/>
  <c r="AL208" i="73" s="1"/>
  <c r="AL227" i="73" a="1"/>
  <c r="AL227" i="73" s="1"/>
  <c r="AL237" i="73" a="1"/>
  <c r="AL237" i="73" s="1"/>
  <c r="AL264" i="73" a="1"/>
  <c r="AL264" i="73" s="1"/>
  <c r="AL273" i="73" a="1"/>
  <c r="AL273" i="73" s="1"/>
  <c r="AL282" i="73" a="1"/>
  <c r="AL282" i="73" s="1"/>
  <c r="AL290" i="73" a="1"/>
  <c r="AL290" i="73" s="1"/>
  <c r="AL297" i="73" a="1"/>
  <c r="AL297" i="73" s="1"/>
  <c r="AL305" i="73" a="1"/>
  <c r="AL305" i="73" s="1"/>
  <c r="AL50" i="73" a="1"/>
  <c r="AL50" i="73" s="1"/>
  <c r="AL79" i="73" a="1"/>
  <c r="AL79" i="73" s="1"/>
  <c r="AL104" i="73" a="1"/>
  <c r="AL104" i="73" s="1"/>
  <c r="AL130" i="73" a="1"/>
  <c r="AL130" i="73" s="1"/>
  <c r="AL140" i="73" a="1"/>
  <c r="AL140" i="73" s="1"/>
  <c r="AL150" i="73" a="1"/>
  <c r="AL150" i="73" s="1"/>
  <c r="AL160" i="73" a="1"/>
  <c r="AL160" i="73" s="1"/>
  <c r="AL170" i="73" a="1"/>
  <c r="AL170" i="73" s="1"/>
  <c r="AL180" i="73" a="1"/>
  <c r="AL180" i="73" s="1"/>
  <c r="AL190" i="73" a="1"/>
  <c r="AL190" i="73" s="1"/>
  <c r="AL209" i="73" a="1"/>
  <c r="AL209" i="73" s="1"/>
  <c r="AL238" i="73" a="1"/>
  <c r="AL238" i="73" s="1"/>
  <c r="AL248" i="73" a="1"/>
  <c r="AL248" i="73" s="1"/>
  <c r="AL257" i="73" a="1"/>
  <c r="AL257" i="73" s="1"/>
  <c r="AL291" i="73" a="1"/>
  <c r="AL291" i="73" s="1"/>
  <c r="AL298" i="73" a="1"/>
  <c r="AL298" i="73" s="1"/>
  <c r="AL306" i="73" a="1"/>
  <c r="AL306" i="73" s="1"/>
  <c r="AL244" i="73" a="1"/>
  <c r="AL244" i="73" s="1"/>
  <c r="AL270" i="73" a="1"/>
  <c r="AL270" i="73" s="1"/>
  <c r="AL288" i="73" a="1"/>
  <c r="AL288" i="73" s="1"/>
  <c r="AL302" i="73" a="1"/>
  <c r="AL302" i="73" s="1"/>
  <c r="AB2" i="73"/>
  <c r="Y2" i="73"/>
  <c r="AF6" i="73" l="1" a="1"/>
  <c r="AF6" i="73" s="1"/>
  <c r="T11" i="72" s="1"/>
  <c r="AF10" i="73" a="1"/>
  <c r="AF10" i="73" s="1"/>
  <c r="X11" i="72" s="1"/>
  <c r="AF7" i="73" a="1"/>
  <c r="AF7" i="73" s="1"/>
  <c r="U11" i="72" s="1"/>
  <c r="AF8" i="73" a="1"/>
  <c r="AF8" i="73" s="1"/>
  <c r="V11" i="72" s="1"/>
  <c r="AF12" i="73" a="1"/>
  <c r="AF12" i="73" s="1"/>
  <c r="Z11" i="72" s="1"/>
  <c r="AF4" i="73" a="1"/>
  <c r="AF4" i="73" s="1"/>
  <c r="R11" i="72" s="1"/>
  <c r="AF9" i="73" a="1"/>
  <c r="AF9" i="73" s="1"/>
  <c r="W11" i="72" s="1"/>
  <c r="AF5" i="73" a="1"/>
  <c r="AF5" i="73" s="1"/>
  <c r="S11" i="72" s="1"/>
  <c r="AF3" i="73" a="1"/>
  <c r="AF3" i="73" s="1"/>
  <c r="Q11" i="72" s="1"/>
  <c r="AF11" i="73" a="1"/>
  <c r="AF11" i="73" s="1"/>
  <c r="Y11" i="72" s="1"/>
  <c r="Z11" i="73" a="1"/>
  <c r="Z11" i="73" s="1"/>
  <c r="CI20" i="72" s="1"/>
  <c r="Z20" i="73" a="1"/>
  <c r="Z20" i="73" s="1"/>
  <c r="CI29" i="72" s="1"/>
  <c r="Z29" i="73" a="1"/>
  <c r="Z29" i="73" s="1"/>
  <c r="Z7" i="73" a="1"/>
  <c r="Z7" i="73" s="1"/>
  <c r="CI16" i="72" s="1"/>
  <c r="Z12" i="73" a="1"/>
  <c r="Z12" i="73" s="1"/>
  <c r="Z16" i="73" a="1"/>
  <c r="Z16" i="73" s="1"/>
  <c r="CI25" i="72" s="1"/>
  <c r="CN25" i="72" s="1"/>
  <c r="Z21" i="73" a="1"/>
  <c r="Z21" i="73" s="1"/>
  <c r="CI30" i="72" s="1"/>
  <c r="Z25" i="73" a="1"/>
  <c r="Z25" i="73" s="1"/>
  <c r="BY8" i="72" s="1"/>
  <c r="Z30" i="73" a="1"/>
  <c r="Z30" i="73" s="1"/>
  <c r="Z4" i="73" a="1"/>
  <c r="Z4" i="73" s="1"/>
  <c r="CI13" i="72" s="1"/>
  <c r="CR13" i="72" s="1"/>
  <c r="Z8" i="73" a="1"/>
  <c r="Z8" i="73" s="1"/>
  <c r="Z17" i="73" a="1"/>
  <c r="Z17" i="73" s="1"/>
  <c r="CI26" i="72" s="1"/>
  <c r="CQ26" i="72" s="1"/>
  <c r="Z26" i="73" a="1"/>
  <c r="Z26" i="73" s="1"/>
  <c r="BY9" i="72" s="1"/>
  <c r="Z3" i="73" a="1"/>
  <c r="Z3" i="73" s="1"/>
  <c r="Z9" i="73" a="1"/>
  <c r="Z9" i="73" s="1"/>
  <c r="Z13" i="73" a="1"/>
  <c r="Z13" i="73" s="1"/>
  <c r="Z18" i="73" a="1"/>
  <c r="Z18" i="73" s="1"/>
  <c r="CI27" i="72" s="1"/>
  <c r="CO27" i="72" s="1"/>
  <c r="Z22" i="73" a="1"/>
  <c r="Z22" i="73" s="1"/>
  <c r="CI31" i="72" s="1"/>
  <c r="Z27" i="73" a="1"/>
  <c r="Z27" i="73" s="1"/>
  <c r="CA2" i="72" s="1"/>
  <c r="Z5" i="73" a="1"/>
  <c r="Z5" i="73" s="1"/>
  <c r="CI14" i="72" s="1"/>
  <c r="Z14" i="73" a="1"/>
  <c r="Z14" i="73" s="1"/>
  <c r="CI23" i="72" s="1"/>
  <c r="CR23" i="72" s="1"/>
  <c r="Z23" i="73" a="1"/>
  <c r="Z23" i="73" s="1"/>
  <c r="Z6" i="73" a="1"/>
  <c r="Z6" i="73" s="1"/>
  <c r="CI15" i="72" s="1"/>
  <c r="CO15" i="72" s="1"/>
  <c r="Z10" i="73" a="1"/>
  <c r="Z10" i="73" s="1"/>
  <c r="CI19" i="72" s="1"/>
  <c r="CN19" i="72" s="1"/>
  <c r="Z15" i="73" a="1"/>
  <c r="Z15" i="73" s="1"/>
  <c r="CI24" i="72" s="1"/>
  <c r="CP24" i="72" s="1"/>
  <c r="Z19" i="73" a="1"/>
  <c r="Z19" i="73" s="1"/>
  <c r="CI28" i="72" s="1"/>
  <c r="CR28" i="72" s="1"/>
  <c r="Z24" i="73" a="1"/>
  <c r="Z24" i="73" s="1"/>
  <c r="BY7" i="72" s="1"/>
  <c r="Z28" i="73" a="1"/>
  <c r="Z28" i="73" s="1"/>
  <c r="CP16" i="72" l="1"/>
  <c r="CJ16" i="72"/>
  <c r="CA5" i="72"/>
  <c r="CA4" i="72"/>
  <c r="CP29" i="72"/>
  <c r="CO29" i="72"/>
  <c r="CR29" i="72"/>
  <c r="CJ29" i="72"/>
  <c r="CN29" i="72"/>
  <c r="CQ29" i="72"/>
  <c r="CI17" i="72"/>
  <c r="CN17" i="72" s="1"/>
  <c r="CI18" i="72"/>
  <c r="CN18" i="72" s="1"/>
  <c r="CA3" i="72"/>
  <c r="CP20" i="72"/>
  <c r="CR20" i="72"/>
  <c r="CO20" i="72"/>
  <c r="CQ20" i="72"/>
  <c r="CN20" i="72"/>
  <c r="CJ20" i="72"/>
  <c r="CJ23" i="72"/>
  <c r="CQ28" i="72"/>
  <c r="CJ19" i="72"/>
  <c r="CJ25" i="72"/>
  <c r="CP19" i="72"/>
  <c r="CP28" i="72"/>
  <c r="CJ31" i="72"/>
  <c r="CQ31" i="72"/>
  <c r="CR31" i="72"/>
  <c r="CN31" i="72"/>
  <c r="CO31" i="72"/>
  <c r="CP31" i="72"/>
  <c r="CQ30" i="72"/>
  <c r="CR30" i="72"/>
  <c r="CN30" i="72"/>
  <c r="CO30" i="72"/>
  <c r="CP30" i="72"/>
  <c r="BU2" i="72"/>
  <c r="CR19" i="72"/>
  <c r="CI12" i="72"/>
  <c r="CR26" i="72"/>
  <c r="CP26" i="72"/>
  <c r="CQ16" i="72"/>
  <c r="CO23" i="72"/>
  <c r="CJ27" i="72"/>
  <c r="CO26" i="72"/>
  <c r="CI21" i="72"/>
  <c r="CJ21" i="72" s="1"/>
  <c r="CJ26" i="72"/>
  <c r="CJ13" i="72"/>
  <c r="CN26" i="72"/>
  <c r="CR25" i="72"/>
  <c r="CJ28" i="72"/>
  <c r="CQ23" i="72"/>
  <c r="CQ14" i="72"/>
  <c r="CJ14" i="72"/>
  <c r="CO28" i="72"/>
  <c r="CI22" i="72"/>
  <c r="CQ22" i="72" s="1"/>
  <c r="CP13" i="72"/>
  <c r="CJ15" i="72"/>
  <c r="CJ30" i="72"/>
  <c r="CN28" i="72"/>
  <c r="CO25" i="72"/>
  <c r="CQ25" i="72"/>
  <c r="CP27" i="72"/>
  <c r="CO16" i="72"/>
  <c r="CN27" i="72"/>
  <c r="CR16" i="72"/>
  <c r="CR27" i="72"/>
  <c r="CQ27" i="72"/>
  <c r="CN16" i="72"/>
  <c r="CN23" i="72"/>
  <c r="CP14" i="72"/>
  <c r="CQ24" i="72"/>
  <c r="CP23" i="72"/>
  <c r="CR15" i="72"/>
  <c r="CQ19" i="72"/>
  <c r="CQ15" i="72"/>
  <c r="CO14" i="72"/>
  <c r="CN13" i="72"/>
  <c r="CN15" i="72"/>
  <c r="CO19" i="72"/>
  <c r="CN24" i="72"/>
  <c r="CR24" i="72"/>
  <c r="CN14" i="72"/>
  <c r="CO24" i="72"/>
  <c r="CJ24" i="72"/>
  <c r="CP15" i="72"/>
  <c r="CO13" i="72"/>
  <c r="CR14" i="72"/>
  <c r="CQ13" i="72"/>
  <c r="CP25" i="72"/>
  <c r="BY6" i="72"/>
  <c r="BY5" i="72"/>
  <c r="BY4" i="72"/>
  <c r="BY3" i="72"/>
  <c r="BY2" i="72"/>
  <c r="CL28" i="72" s="1"/>
  <c r="BW8" i="72"/>
  <c r="BW7" i="72"/>
  <c r="BW5" i="72"/>
  <c r="BW3" i="72"/>
  <c r="BW6" i="72"/>
  <c r="BW9" i="72"/>
  <c r="BW4" i="72"/>
  <c r="BU3" i="72"/>
  <c r="BU9" i="72"/>
  <c r="BU7" i="72"/>
  <c r="BU5" i="72"/>
  <c r="BU8" i="72"/>
  <c r="BU6" i="72"/>
  <c r="BU4" i="72"/>
  <c r="BW2" i="72"/>
  <c r="CP17" i="72" l="1"/>
  <c r="CN12" i="72"/>
  <c r="BO7" i="72" s="1"/>
  <c r="CP12" i="72"/>
  <c r="CJ17" i="72"/>
  <c r="CR17" i="72"/>
  <c r="CO17" i="72"/>
  <c r="CJ18" i="72"/>
  <c r="CQ18" i="72"/>
  <c r="CQ17" i="72"/>
  <c r="CR18" i="72"/>
  <c r="CO18" i="72"/>
  <c r="CP18" i="72"/>
  <c r="CJ12" i="72"/>
  <c r="BO3" i="72" s="1"/>
  <c r="CR12" i="72"/>
  <c r="CO12" i="72"/>
  <c r="BP7" i="72" s="1"/>
  <c r="CQ12" i="72"/>
  <c r="CL12" i="72"/>
  <c r="CL31" i="72"/>
  <c r="CL30" i="72"/>
  <c r="CS30" i="72" s="1"/>
  <c r="CO21" i="72"/>
  <c r="CR21" i="72"/>
  <c r="CN21" i="72"/>
  <c r="CP21" i="72"/>
  <c r="CQ21" i="72"/>
  <c r="CN22" i="72"/>
  <c r="CR22" i="72"/>
  <c r="CJ22" i="72"/>
  <c r="CO22" i="72"/>
  <c r="CP22" i="72"/>
  <c r="CL20" i="72"/>
  <c r="CL24" i="72"/>
  <c r="CL22" i="72"/>
  <c r="CL26" i="72"/>
  <c r="CL23" i="72"/>
  <c r="CL25" i="72"/>
  <c r="CL21" i="72"/>
  <c r="CL27" i="72"/>
  <c r="CL15" i="72"/>
  <c r="CL16" i="72"/>
  <c r="CL14" i="72"/>
  <c r="CL18" i="72"/>
  <c r="CL17" i="72"/>
  <c r="CL13" i="72"/>
  <c r="CL19" i="72"/>
  <c r="CK20" i="72"/>
  <c r="CK26" i="72"/>
  <c r="CK21" i="72"/>
  <c r="CK27" i="72"/>
  <c r="CK22" i="72"/>
  <c r="CK28" i="72"/>
  <c r="CM28" i="72" s="1"/>
  <c r="CK23" i="72"/>
  <c r="CK29" i="72"/>
  <c r="CS29" i="72" s="1"/>
  <c r="CT29" i="72" s="1"/>
  <c r="CK24" i="72"/>
  <c r="CK25" i="72"/>
  <c r="CM29" i="72" l="1"/>
  <c r="BQ3" i="72"/>
  <c r="BS7" i="72"/>
  <c r="BR7" i="72"/>
  <c r="BQ7" i="72"/>
  <c r="CM24" i="72"/>
  <c r="CM27" i="72"/>
  <c r="CS12" i="72"/>
  <c r="CT12" i="72" s="1"/>
  <c r="CM30" i="72"/>
  <c r="CM25" i="72"/>
  <c r="CM20" i="72"/>
  <c r="CM23" i="72"/>
  <c r="CM26" i="72"/>
  <c r="CM22" i="72"/>
  <c r="CM21" i="72"/>
  <c r="CM31" i="72"/>
  <c r="CS31" i="72"/>
  <c r="CT31" i="72" s="1"/>
  <c r="CT30" i="72"/>
  <c r="CS26" i="72"/>
  <c r="CT26" i="72" s="1"/>
  <c r="CS23" i="72"/>
  <c r="CT23" i="72" s="1"/>
  <c r="CS20" i="72"/>
  <c r="CT20" i="72" s="1"/>
  <c r="CS28" i="72"/>
  <c r="CT28" i="72" s="1"/>
  <c r="CS25" i="72"/>
  <c r="CT25" i="72" s="1"/>
  <c r="CS22" i="72"/>
  <c r="CT22" i="72" s="1"/>
  <c r="CS24" i="72"/>
  <c r="CT24" i="72" s="1"/>
  <c r="CS21" i="72"/>
  <c r="CT21" i="72" s="1"/>
  <c r="CS27" i="72"/>
  <c r="CT27" i="72" s="1"/>
  <c r="CK13" i="72"/>
  <c r="CM13" i="72" s="1"/>
  <c r="CK14" i="72"/>
  <c r="CM14" i="72" s="1"/>
  <c r="CK15" i="72"/>
  <c r="CM15" i="72" s="1"/>
  <c r="CK16" i="72"/>
  <c r="CM16" i="72" s="1"/>
  <c r="CK17" i="72"/>
  <c r="CM17" i="72" s="1"/>
  <c r="CK18" i="72"/>
  <c r="CM18" i="72" s="1"/>
  <c r="CK19" i="72"/>
  <c r="CM19" i="72" s="1"/>
  <c r="BR3" i="72" l="1"/>
  <c r="BS3" i="72"/>
  <c r="BS4" i="72" s="1"/>
  <c r="CS19" i="72"/>
  <c r="CT19" i="72" s="1"/>
  <c r="CS17" i="72"/>
  <c r="CT17" i="72" s="1"/>
  <c r="CS16" i="72"/>
  <c r="CT16" i="72" s="1"/>
  <c r="CS14" i="72"/>
  <c r="CT14" i="72" s="1"/>
  <c r="CS13" i="72"/>
  <c r="CT13" i="72" s="1"/>
  <c r="CS18" i="72"/>
  <c r="CT18" i="72" s="1"/>
  <c r="CS15" i="72"/>
  <c r="CT15" i="72" s="1"/>
  <c r="BT3" i="72" l="1"/>
  <c r="CM12" i="72"/>
</calcChain>
</file>

<file path=xl/comments1.xml><?xml version="1.0" encoding="utf-8"?>
<comments xmlns="http://schemas.openxmlformats.org/spreadsheetml/2006/main">
  <authors>
    <author>Helena Domingues de Souza Rosa</author>
  </authors>
  <commentList>
    <comment ref="E221" authorId="0" shapeId="0">
      <text>
        <r>
          <rPr>
            <b/>
            <sz val="9"/>
            <color indexed="81"/>
            <rFont val="Segoe UI"/>
            <family val="2"/>
          </rPr>
          <t xml:space="preserve">MCT: 120 SEG.
</t>
        </r>
        <r>
          <rPr>
            <sz val="8"/>
            <color indexed="81"/>
            <rFont val="Segoe UI"/>
            <family val="2"/>
          </rPr>
          <t>2 peças por moldagem.
1 operador para 4 prensas (se colocar 2 operadores aumentamos a capacidade máquina em aprox. 30% conforme informação da Raquel em 27/04/21 (Genchi Genbutsu). 
O ciclo completo considerando 1 operador tem 160 SEG para 2 peças (incluindo tempo de carga e descarga da máquina).</t>
        </r>
      </text>
    </comment>
  </commentList>
</comments>
</file>

<file path=xl/sharedStrings.xml><?xml version="1.0" encoding="utf-8"?>
<sst xmlns="http://schemas.openxmlformats.org/spreadsheetml/2006/main" count="5830" uniqueCount="1150">
  <si>
    <t>Kanban</t>
  </si>
  <si>
    <t>Fim</t>
  </si>
  <si>
    <t>Máquina</t>
  </si>
  <si>
    <t>Unid. Medida</t>
  </si>
  <si>
    <t>Setup</t>
  </si>
  <si>
    <t>Início</t>
  </si>
  <si>
    <t>KG</t>
  </si>
  <si>
    <t>PEÇAS</t>
  </si>
  <si>
    <t xml:space="preserve">METROS </t>
  </si>
  <si>
    <t>Peças Boas</t>
  </si>
  <si>
    <t xml:space="preserve">Turno </t>
  </si>
  <si>
    <t>Turno A</t>
  </si>
  <si>
    <t>Turno B</t>
  </si>
  <si>
    <t>Turno C</t>
  </si>
  <si>
    <t>KANBAN</t>
  </si>
  <si>
    <t>Disp. Com Demanda</t>
  </si>
  <si>
    <t>SIM</t>
  </si>
  <si>
    <t>PEÇAS SIMULTÂNEAS</t>
  </si>
  <si>
    <t>Motivo</t>
  </si>
  <si>
    <t>Sem Demanda</t>
  </si>
  <si>
    <t>Horas Produtivas</t>
  </si>
  <si>
    <t>% Defeitos</t>
  </si>
  <si>
    <t>Disp. 
Teórica</t>
  </si>
  <si>
    <t xml:space="preserve">Horas 
Extras </t>
  </si>
  <si>
    <t>Saldo
Apontamentos</t>
  </si>
  <si>
    <t>Peças
Simultâneas</t>
  </si>
  <si>
    <t>G-210</t>
  </si>
  <si>
    <t>G-211</t>
  </si>
  <si>
    <t>G-214</t>
  </si>
  <si>
    <t>G-215</t>
  </si>
  <si>
    <t>G-216</t>
  </si>
  <si>
    <t>G-217</t>
  </si>
  <si>
    <t>G-262</t>
  </si>
  <si>
    <t>G-263</t>
  </si>
  <si>
    <t>R-001</t>
  </si>
  <si>
    <t>R-002</t>
  </si>
  <si>
    <t>M-262</t>
  </si>
  <si>
    <t>M-263</t>
  </si>
  <si>
    <t>A-262</t>
  </si>
  <si>
    <t>B-262</t>
  </si>
  <si>
    <t>A-263</t>
  </si>
  <si>
    <t>B-263</t>
  </si>
  <si>
    <t>Paradas Programadas</t>
  </si>
  <si>
    <t>Prensa 11</t>
  </si>
  <si>
    <t>Prensa 12</t>
  </si>
  <si>
    <t>Total Defeitos</t>
  </si>
  <si>
    <t>Qtd. Produzida</t>
  </si>
  <si>
    <t>Horário do Turno</t>
  </si>
  <si>
    <t xml:space="preserve">Horas Extras </t>
  </si>
  <si>
    <t>Disp. Teórica</t>
  </si>
  <si>
    <t>Peças/Hora</t>
  </si>
  <si>
    <t>Validação</t>
  </si>
  <si>
    <t>Observação</t>
  </si>
  <si>
    <t>Paradas Prog.</t>
  </si>
  <si>
    <t>Paradas 
Não Prog.</t>
  </si>
  <si>
    <t>Saldo Apont.</t>
  </si>
  <si>
    <t>SETOR</t>
  </si>
  <si>
    <t>MÁQUINA</t>
  </si>
  <si>
    <t>TURNO</t>
  </si>
  <si>
    <t>UNIDADE DE MEDIDA</t>
  </si>
  <si>
    <t>WS-DW</t>
  </si>
  <si>
    <t>G-201</t>
  </si>
  <si>
    <t>G-202</t>
  </si>
  <si>
    <t>G-203</t>
  </si>
  <si>
    <t>G-204</t>
  </si>
  <si>
    <t>G-205</t>
  </si>
  <si>
    <t>G-206</t>
  </si>
  <si>
    <t>G-209</t>
  </si>
  <si>
    <t>G-220</t>
  </si>
  <si>
    <t>G-221</t>
  </si>
  <si>
    <t>G-230</t>
  </si>
  <si>
    <t>G-261</t>
  </si>
  <si>
    <t>O-211</t>
  </si>
  <si>
    <t>O-213</t>
  </si>
  <si>
    <t>O-215</t>
  </si>
  <si>
    <t>O-218</t>
  </si>
  <si>
    <t>O-219</t>
  </si>
  <si>
    <t>O-220</t>
  </si>
  <si>
    <t>O-221</t>
  </si>
  <si>
    <t>O-222</t>
  </si>
  <si>
    <t>O-223</t>
  </si>
  <si>
    <t>O-224</t>
  </si>
  <si>
    <t>O-225</t>
  </si>
  <si>
    <t>O-226</t>
  </si>
  <si>
    <t>O-227</t>
  </si>
  <si>
    <t>O-228</t>
  </si>
  <si>
    <t>O-229</t>
  </si>
  <si>
    <t>O-230</t>
  </si>
  <si>
    <t>O-231</t>
  </si>
  <si>
    <t>O-232</t>
  </si>
  <si>
    <t>O-262</t>
  </si>
  <si>
    <t>O-263</t>
  </si>
  <si>
    <t>WS-CLIP</t>
  </si>
  <si>
    <t>O-001</t>
  </si>
  <si>
    <t>O-002</t>
  </si>
  <si>
    <t>O-003</t>
  </si>
  <si>
    <t>O-004</t>
  </si>
  <si>
    <t>O-005</t>
  </si>
  <si>
    <t>O-006</t>
  </si>
  <si>
    <t>O-010</t>
  </si>
  <si>
    <t>O-011</t>
  </si>
  <si>
    <t>O-012</t>
  </si>
  <si>
    <t>O-013</t>
  </si>
  <si>
    <t>O-014</t>
  </si>
  <si>
    <t>O-015</t>
  </si>
  <si>
    <t>O-016</t>
  </si>
  <si>
    <t>O-017</t>
  </si>
  <si>
    <t>O-018</t>
  </si>
  <si>
    <t>O-019</t>
  </si>
  <si>
    <t>O-020</t>
  </si>
  <si>
    <t>O-030</t>
  </si>
  <si>
    <t>O-031</t>
  </si>
  <si>
    <t>O-032</t>
  </si>
  <si>
    <t>O-033</t>
  </si>
  <si>
    <t>O-034</t>
  </si>
  <si>
    <t>O-035</t>
  </si>
  <si>
    <t>O-040</t>
  </si>
  <si>
    <t>O-041</t>
  </si>
  <si>
    <t>O-042</t>
  </si>
  <si>
    <t>O-043</t>
  </si>
  <si>
    <t>O-044</t>
  </si>
  <si>
    <t>O-045</t>
  </si>
  <si>
    <t>O-046</t>
  </si>
  <si>
    <t>O-047</t>
  </si>
  <si>
    <t>O-048</t>
  </si>
  <si>
    <t>O-049</t>
  </si>
  <si>
    <t>O-050</t>
  </si>
  <si>
    <t>O-051</t>
  </si>
  <si>
    <t>O-052</t>
  </si>
  <si>
    <t>O-053</t>
  </si>
  <si>
    <t>Sem demanda</t>
  </si>
  <si>
    <t>WS-SPONGE</t>
  </si>
  <si>
    <t>WS-TPV</t>
  </si>
  <si>
    <t>O-201</t>
  </si>
  <si>
    <t>O-203</t>
  </si>
  <si>
    <t>O-206</t>
  </si>
  <si>
    <t>O-207</t>
  </si>
  <si>
    <t>O-208</t>
  </si>
  <si>
    <t>O-209</t>
  </si>
  <si>
    <t>O-210</t>
  </si>
  <si>
    <t>O-212</t>
  </si>
  <si>
    <t>O-214</t>
  </si>
  <si>
    <t>O-217</t>
  </si>
  <si>
    <t>O-250</t>
  </si>
  <si>
    <t>O-252</t>
  </si>
  <si>
    <t>O-254</t>
  </si>
  <si>
    <t>O-260</t>
  </si>
  <si>
    <t>O-261</t>
  </si>
  <si>
    <t>F-424</t>
  </si>
  <si>
    <t>F-446</t>
  </si>
  <si>
    <t>F-713</t>
  </si>
  <si>
    <t>F-770</t>
  </si>
  <si>
    <t>F-789</t>
  </si>
  <si>
    <t>P-004</t>
  </si>
  <si>
    <t>P-005</t>
  </si>
  <si>
    <t>P-018</t>
  </si>
  <si>
    <t>P-026</t>
  </si>
  <si>
    <t>P-027</t>
  </si>
  <si>
    <t>P-028</t>
  </si>
  <si>
    <t>P-033</t>
  </si>
  <si>
    <t>P-038</t>
  </si>
  <si>
    <t>WS-MIX</t>
  </si>
  <si>
    <t>X-536</t>
  </si>
  <si>
    <t>WS-GR</t>
  </si>
  <si>
    <t>G-001</t>
  </si>
  <si>
    <t>G-002</t>
  </si>
  <si>
    <t>G-003</t>
  </si>
  <si>
    <t>G-004</t>
  </si>
  <si>
    <t>G-010</t>
  </si>
  <si>
    <t>G-011</t>
  </si>
  <si>
    <t>G-012</t>
  </si>
  <si>
    <t>G-013</t>
  </si>
  <si>
    <t>G-014</t>
  </si>
  <si>
    <t>G-015</t>
  </si>
  <si>
    <t>G-016</t>
  </si>
  <si>
    <t>G-017</t>
  </si>
  <si>
    <t>G-020</t>
  </si>
  <si>
    <t>G-021</t>
  </si>
  <si>
    <t>G-022</t>
  </si>
  <si>
    <t>G-023</t>
  </si>
  <si>
    <t>G-024</t>
  </si>
  <si>
    <t>G-025</t>
  </si>
  <si>
    <t>G-030</t>
  </si>
  <si>
    <t>G-031</t>
  </si>
  <si>
    <t>G-032</t>
  </si>
  <si>
    <t>G-033</t>
  </si>
  <si>
    <t>G-035</t>
  </si>
  <si>
    <t>G-036</t>
  </si>
  <si>
    <t>G-037</t>
  </si>
  <si>
    <t>G-038</t>
  </si>
  <si>
    <t>G-250</t>
  </si>
  <si>
    <t>G-251</t>
  </si>
  <si>
    <t>G-252</t>
  </si>
  <si>
    <t>G-253</t>
  </si>
  <si>
    <t>G-254</t>
  </si>
  <si>
    <t>G-255</t>
  </si>
  <si>
    <t>G-260</t>
  </si>
  <si>
    <t>WS-OT</t>
  </si>
  <si>
    <t>PARADA PROG</t>
  </si>
  <si>
    <t>PARADA NÃO PROG</t>
  </si>
  <si>
    <t>Senbetsu</t>
  </si>
  <si>
    <t>Falta de Borracha</t>
  </si>
  <si>
    <t>Bolha de Ar</t>
  </si>
  <si>
    <t>Escorrido</t>
  </si>
  <si>
    <t>Amassado</t>
  </si>
  <si>
    <t>Mordido</t>
  </si>
  <si>
    <t>Risco</t>
  </si>
  <si>
    <t>Falta de Material</t>
  </si>
  <si>
    <t xml:space="preserve">Falha na Solda </t>
  </si>
  <si>
    <t>Outros</t>
  </si>
  <si>
    <t>K-001</t>
  </si>
  <si>
    <t>K-002</t>
  </si>
  <si>
    <t>K-003</t>
  </si>
  <si>
    <t>K-004</t>
  </si>
  <si>
    <t>K-005</t>
  </si>
  <si>
    <t>K-006</t>
  </si>
  <si>
    <t>K-007</t>
  </si>
  <si>
    <t>K-008</t>
  </si>
  <si>
    <t>K-009</t>
  </si>
  <si>
    <t>K-010</t>
  </si>
  <si>
    <t>K-011</t>
  </si>
  <si>
    <t>K-012</t>
  </si>
  <si>
    <t>K-013</t>
  </si>
  <si>
    <t>K-014</t>
  </si>
  <si>
    <t>K-015</t>
  </si>
  <si>
    <t>K-018</t>
  </si>
  <si>
    <t>K-019</t>
  </si>
  <si>
    <t>K-020</t>
  </si>
  <si>
    <t>K-021</t>
  </si>
  <si>
    <t>K-022</t>
  </si>
  <si>
    <t>K-023</t>
  </si>
  <si>
    <t>K-030</t>
  </si>
  <si>
    <t>K-031</t>
  </si>
  <si>
    <t>K-032</t>
  </si>
  <si>
    <t>K-033</t>
  </si>
  <si>
    <t>K-036</t>
  </si>
  <si>
    <t>K-037</t>
  </si>
  <si>
    <t>K-038</t>
  </si>
  <si>
    <t>K-039</t>
  </si>
  <si>
    <t>K-040</t>
  </si>
  <si>
    <t>K-041</t>
  </si>
  <si>
    <t>K-042</t>
  </si>
  <si>
    <t>K-043</t>
  </si>
  <si>
    <t>K-044</t>
  </si>
  <si>
    <t>K-046</t>
  </si>
  <si>
    <t>K-050</t>
  </si>
  <si>
    <t>K-051</t>
  </si>
  <si>
    <t>K-053</t>
  </si>
  <si>
    <t>K-054</t>
  </si>
  <si>
    <t>K-055</t>
  </si>
  <si>
    <t>K-056</t>
  </si>
  <si>
    <t>K-057</t>
  </si>
  <si>
    <t>K-058</t>
  </si>
  <si>
    <t>K-060</t>
  </si>
  <si>
    <t>K-061</t>
  </si>
  <si>
    <t>K-062</t>
  </si>
  <si>
    <t>K-063</t>
  </si>
  <si>
    <t>K-066</t>
  </si>
  <si>
    <t>K-067</t>
  </si>
  <si>
    <t>K-068</t>
  </si>
  <si>
    <t>K-069</t>
  </si>
  <si>
    <t>K-070</t>
  </si>
  <si>
    <t>K-071</t>
  </si>
  <si>
    <t>K-072</t>
  </si>
  <si>
    <t>K-073</t>
  </si>
  <si>
    <t>K-075</t>
  </si>
  <si>
    <t>K-076</t>
  </si>
  <si>
    <t>K-077</t>
  </si>
  <si>
    <t>K-078</t>
  </si>
  <si>
    <t>R-003</t>
  </si>
  <si>
    <t>R-021</t>
  </si>
  <si>
    <t>R-058</t>
  </si>
  <si>
    <t>IE-MONTAGEM</t>
  </si>
  <si>
    <t>IE-PINTURA</t>
  </si>
  <si>
    <t>T-001</t>
  </si>
  <si>
    <t>T-002</t>
  </si>
  <si>
    <t>T-003</t>
  </si>
  <si>
    <t>T-004</t>
  </si>
  <si>
    <t>T-005</t>
  </si>
  <si>
    <t>T-006</t>
  </si>
  <si>
    <t>T-007</t>
  </si>
  <si>
    <t>T-008</t>
  </si>
  <si>
    <t>T-010</t>
  </si>
  <si>
    <t>T-011</t>
  </si>
  <si>
    <t>T-012</t>
  </si>
  <si>
    <t>T-013</t>
  </si>
  <si>
    <t>T-014</t>
  </si>
  <si>
    <t>T-015</t>
  </si>
  <si>
    <t>T-016</t>
  </si>
  <si>
    <t>T-017</t>
  </si>
  <si>
    <t>T-018</t>
  </si>
  <si>
    <t>T-019</t>
  </si>
  <si>
    <t>T-020</t>
  </si>
  <si>
    <t>T-021</t>
  </si>
  <si>
    <t>T-022</t>
  </si>
  <si>
    <t>T-023</t>
  </si>
  <si>
    <t>T-030</t>
  </si>
  <si>
    <t>T-032</t>
  </si>
  <si>
    <t>T-033</t>
  </si>
  <si>
    <t>T-036</t>
  </si>
  <si>
    <t>T-037</t>
  </si>
  <si>
    <t>T-038</t>
  </si>
  <si>
    <t>T-039</t>
  </si>
  <si>
    <t>T-050</t>
  </si>
  <si>
    <t>T-053</t>
  </si>
  <si>
    <t>T-054</t>
  </si>
  <si>
    <t>T-055</t>
  </si>
  <si>
    <t>T-056</t>
  </si>
  <si>
    <t>T-057</t>
  </si>
  <si>
    <t>T-058</t>
  </si>
  <si>
    <t>T-059</t>
  </si>
  <si>
    <t>T-060</t>
  </si>
  <si>
    <t>T-061</t>
  </si>
  <si>
    <t>T-062</t>
  </si>
  <si>
    <t>T-063</t>
  </si>
  <si>
    <t>T-068</t>
  </si>
  <si>
    <t>T-069</t>
  </si>
  <si>
    <t>T-070</t>
  </si>
  <si>
    <t>T-071</t>
  </si>
  <si>
    <t>T-072</t>
  </si>
  <si>
    <t>T-073</t>
  </si>
  <si>
    <t>IE-INJEÇÃO</t>
  </si>
  <si>
    <t>S-001</t>
  </si>
  <si>
    <t>S-002</t>
  </si>
  <si>
    <t>S-003</t>
  </si>
  <si>
    <t>S-004</t>
  </si>
  <si>
    <t>S-005</t>
  </si>
  <si>
    <t>S-006</t>
  </si>
  <si>
    <t>S-007</t>
  </si>
  <si>
    <t>S-008</t>
  </si>
  <si>
    <t>S-009</t>
  </si>
  <si>
    <t>S-010</t>
  </si>
  <si>
    <t>S-011</t>
  </si>
  <si>
    <t>S-012</t>
  </si>
  <si>
    <t>S-013</t>
  </si>
  <si>
    <t>S-014</t>
  </si>
  <si>
    <t>S-015</t>
  </si>
  <si>
    <t>S-016</t>
  </si>
  <si>
    <t>S-017</t>
  </si>
  <si>
    <t>S-018</t>
  </si>
  <si>
    <t>S-021</t>
  </si>
  <si>
    <t>S-030</t>
  </si>
  <si>
    <t>S-032</t>
  </si>
  <si>
    <t>S-033</t>
  </si>
  <si>
    <t>S-036</t>
  </si>
  <si>
    <t>S-037</t>
  </si>
  <si>
    <t>S-038</t>
  </si>
  <si>
    <t>S-039</t>
  </si>
  <si>
    <t>S-050</t>
  </si>
  <si>
    <t>S-053</t>
  </si>
  <si>
    <t>S-054</t>
  </si>
  <si>
    <t>S-055</t>
  </si>
  <si>
    <t>S-056</t>
  </si>
  <si>
    <t>S-057</t>
  </si>
  <si>
    <t>S-058</t>
  </si>
  <si>
    <t>S-059</t>
  </si>
  <si>
    <t>S-060</t>
  </si>
  <si>
    <t>S-061</t>
  </si>
  <si>
    <t>S-062</t>
  </si>
  <si>
    <t>S-063</t>
  </si>
  <si>
    <t>S-068</t>
  </si>
  <si>
    <t>S-069</t>
  </si>
  <si>
    <t>S-070</t>
  </si>
  <si>
    <t>S-071</t>
  </si>
  <si>
    <t>S-072</t>
  </si>
  <si>
    <t>S-073</t>
  </si>
  <si>
    <t>S-300</t>
  </si>
  <si>
    <t>S-301</t>
  </si>
  <si>
    <t>S-302</t>
  </si>
  <si>
    <t>S-303</t>
  </si>
  <si>
    <t>S-304</t>
  </si>
  <si>
    <t>S-305</t>
  </si>
  <si>
    <t>S-306</t>
  </si>
  <si>
    <t>S-307</t>
  </si>
  <si>
    <t>S-308</t>
  </si>
  <si>
    <t>S-309</t>
  </si>
  <si>
    <t>S-310</t>
  </si>
  <si>
    <t>S-311</t>
  </si>
  <si>
    <t>S-312</t>
  </si>
  <si>
    <t>S-313</t>
  </si>
  <si>
    <t>R-004</t>
  </si>
  <si>
    <t>R-306</t>
  </si>
  <si>
    <t>SAB</t>
  </si>
  <si>
    <t>PAB</t>
  </si>
  <si>
    <t>SS-MONTAGEM</t>
  </si>
  <si>
    <t>Z-001</t>
  </si>
  <si>
    <t>Z-002</t>
  </si>
  <si>
    <t>Z-003</t>
  </si>
  <si>
    <t>Z-004</t>
  </si>
  <si>
    <t>Z-005</t>
  </si>
  <si>
    <t>Z-010</t>
  </si>
  <si>
    <t>Z-011</t>
  </si>
  <si>
    <t>Z-012</t>
  </si>
  <si>
    <t>Z-013</t>
  </si>
  <si>
    <t>Z-014</t>
  </si>
  <si>
    <t>Z-015</t>
  </si>
  <si>
    <t>COMPONENTES</t>
  </si>
  <si>
    <t>GA332-04400</t>
  </si>
  <si>
    <t>GA391-00140</t>
  </si>
  <si>
    <t>GA229-25200</t>
  </si>
  <si>
    <t>GA240-17210</t>
  </si>
  <si>
    <t>GA251-16540</t>
  </si>
  <si>
    <t>GK120-01030</t>
  </si>
  <si>
    <t>GA294-00360</t>
  </si>
  <si>
    <t>GA599-00330</t>
  </si>
  <si>
    <t>GA399-07910-A</t>
  </si>
  <si>
    <t>GA399-07920-A</t>
  </si>
  <si>
    <t>GA193-01090</t>
  </si>
  <si>
    <t>GA229-30850-TG</t>
  </si>
  <si>
    <t>GA240-19350</t>
  </si>
  <si>
    <t>GA251-18980</t>
  </si>
  <si>
    <t>GA399-11880-A</t>
  </si>
  <si>
    <t>GA399-11890-A</t>
  </si>
  <si>
    <t>GA399-11880-B</t>
  </si>
  <si>
    <t>GA399-11890-B</t>
  </si>
  <si>
    <t>GA391-00600</t>
  </si>
  <si>
    <t>GA349-03240</t>
  </si>
  <si>
    <t>GA349-03250</t>
  </si>
  <si>
    <t>GA229-3222A</t>
  </si>
  <si>
    <t>GA240-20960-6</t>
  </si>
  <si>
    <t>GA332-05613</t>
  </si>
  <si>
    <t>GA230-07070</t>
  </si>
  <si>
    <t>GA230-07620</t>
  </si>
  <si>
    <t>GA331-01620-A</t>
  </si>
  <si>
    <t>GA331-03590</t>
  </si>
  <si>
    <t>77850-TEA-H811M</t>
  </si>
  <si>
    <t>← Cadastro</t>
  </si>
  <si>
    <t>Setup (PÇ)</t>
  </si>
  <si>
    <t>Kyukei</t>
  </si>
  <si>
    <t>Abastecimento</t>
  </si>
  <si>
    <t>Temperatura</t>
  </si>
  <si>
    <t>Galho Preso</t>
  </si>
  <si>
    <t>Plataforma</t>
  </si>
  <si>
    <t>Esteira</t>
  </si>
  <si>
    <t>Try Out</t>
  </si>
  <si>
    <t>Falta Embalagem</t>
  </si>
  <si>
    <t>Problema MP</t>
  </si>
  <si>
    <t>Parafuso Expanado</t>
  </si>
  <si>
    <t>Primer</t>
  </si>
  <si>
    <t>Selo Torto</t>
  </si>
  <si>
    <t>Solda Profunda</t>
  </si>
  <si>
    <t>Fiapo</t>
  </si>
  <si>
    <t>Sujeira</t>
  </si>
  <si>
    <t>Escorrimento</t>
  </si>
  <si>
    <t>Rugosidade</t>
  </si>
  <si>
    <t>Mancha</t>
  </si>
  <si>
    <t>Cratera</t>
  </si>
  <si>
    <t xml:space="preserve">Risco </t>
  </si>
  <si>
    <t>Rechupe</t>
  </si>
  <si>
    <t>Marca Prata</t>
  </si>
  <si>
    <t>Rebarba</t>
  </si>
  <si>
    <t>Descolado</t>
  </si>
  <si>
    <t>Piko Rasgado</t>
  </si>
  <si>
    <t>Comp. Desencaixado</t>
  </si>
  <si>
    <t>Vazamento de Solda</t>
  </si>
  <si>
    <t>Corte de Galho</t>
  </si>
  <si>
    <t>Marca de Graxa</t>
  </si>
  <si>
    <t>Impureza, Queimado</t>
  </si>
  <si>
    <t xml:space="preserve">Bolha de Ar </t>
  </si>
  <si>
    <t>Problema no Insert</t>
  </si>
  <si>
    <t>Impurezas</t>
  </si>
  <si>
    <t>Afundamento</t>
  </si>
  <si>
    <t>Problema de Corte</t>
  </si>
  <si>
    <t>Limpeza Reg Flow</t>
  </si>
  <si>
    <t>Risco da Matriz</t>
  </si>
  <si>
    <t>67867-52040</t>
  </si>
  <si>
    <t>90467-04034</t>
  </si>
  <si>
    <t>GW119-00700</t>
  </si>
  <si>
    <t>67867-52020</t>
  </si>
  <si>
    <t>67867-12160</t>
  </si>
  <si>
    <t>S24A5-87630</t>
  </si>
  <si>
    <t>-601F</t>
  </si>
  <si>
    <t>9-53234-00000</t>
  </si>
  <si>
    <t>67867-52030</t>
  </si>
  <si>
    <t>67867-12140</t>
  </si>
  <si>
    <t>67867-12150</t>
  </si>
  <si>
    <t>GW612-S0010</t>
  </si>
  <si>
    <t>67867-52010</t>
  </si>
  <si>
    <t>67868-12090</t>
  </si>
  <si>
    <t>67868-12100</t>
  </si>
  <si>
    <t>67868-12110</t>
  </si>
  <si>
    <t>65492-0K010</t>
  </si>
  <si>
    <t>GW445-S0010</t>
  </si>
  <si>
    <t>GW445-S0020</t>
  </si>
  <si>
    <t>GW573-S0010</t>
  </si>
  <si>
    <t>GW527-S0010</t>
  </si>
  <si>
    <t>GW612-00120</t>
  </si>
  <si>
    <t>EPDM-55 50 10</t>
  </si>
  <si>
    <t>GW121-03330</t>
  </si>
  <si>
    <t>GW253-00470</t>
  </si>
  <si>
    <t>GW230-00370-A</t>
  </si>
  <si>
    <t>GW230-00400-A</t>
  </si>
  <si>
    <t>GW230-00410-B</t>
  </si>
  <si>
    <t>GW230-00420-B</t>
  </si>
  <si>
    <t>GW230-00431-A</t>
  </si>
  <si>
    <t>GW230-00441-A</t>
  </si>
  <si>
    <t>GW230-00580-A</t>
  </si>
  <si>
    <t>GW230-00590-A</t>
  </si>
  <si>
    <t>GW233-00260</t>
  </si>
  <si>
    <t>GW253-00220</t>
  </si>
  <si>
    <t>GW121-00921</t>
  </si>
  <si>
    <t>GW235-00140</t>
  </si>
  <si>
    <t>3-89037-01001</t>
  </si>
  <si>
    <t>9-70266-00000</t>
  </si>
  <si>
    <t>CMQ00186</t>
  </si>
  <si>
    <t>GW233-00470</t>
  </si>
  <si>
    <t>GW253-00800</t>
  </si>
  <si>
    <t>GW313-00030-B</t>
  </si>
  <si>
    <t>BLUESIL EMUL E1P</t>
  </si>
  <si>
    <t>CMQ00187</t>
  </si>
  <si>
    <t>GW121-00442</t>
  </si>
  <si>
    <t>GW256-00180</t>
  </si>
  <si>
    <t>52150-00000-A</t>
  </si>
  <si>
    <t>GW230-00270</t>
  </si>
  <si>
    <t>GW230-00280</t>
  </si>
  <si>
    <t>GW230-00290</t>
  </si>
  <si>
    <t>GW230-00300</t>
  </si>
  <si>
    <t>52150-00000</t>
  </si>
  <si>
    <t>GW230-00340</t>
  </si>
  <si>
    <t>GW230-00350</t>
  </si>
  <si>
    <t>GW230-00560</t>
  </si>
  <si>
    <t>GW230-00570</t>
  </si>
  <si>
    <t>GW296-00120</t>
  </si>
  <si>
    <t>0-99260-41001 BR</t>
  </si>
  <si>
    <t>3-89094-01001</t>
  </si>
  <si>
    <t>3-89296-01001 BR</t>
  </si>
  <si>
    <t>3-89661-01001 BR</t>
  </si>
  <si>
    <t>70251-00000</t>
  </si>
  <si>
    <t>70260-00000</t>
  </si>
  <si>
    <t>7-13910-15020</t>
  </si>
  <si>
    <t>9-70019-N0000</t>
  </si>
  <si>
    <t>9-70274-00000</t>
  </si>
  <si>
    <t>9-70275-00000</t>
  </si>
  <si>
    <t>99960-21001</t>
  </si>
  <si>
    <t>CMQ00175</t>
  </si>
  <si>
    <t>J424</t>
  </si>
  <si>
    <t>J446</t>
  </si>
  <si>
    <t>J536</t>
  </si>
  <si>
    <t>J713</t>
  </si>
  <si>
    <t>J770</t>
  </si>
  <si>
    <t>J789</t>
  </si>
  <si>
    <t>MBF-T19PE</t>
  </si>
  <si>
    <t>METABLEN MZE-4</t>
  </si>
  <si>
    <t>PP BC03B</t>
  </si>
  <si>
    <t>RHENOGRAN 536FB</t>
  </si>
  <si>
    <t>SUPERCELL 536FB</t>
  </si>
  <si>
    <t>67869-22030</t>
  </si>
  <si>
    <t>GW121-03021</t>
  </si>
  <si>
    <t>GW121-03031</t>
  </si>
  <si>
    <t>TEKBOND - 721</t>
  </si>
  <si>
    <t>53255-00001</t>
  </si>
  <si>
    <t>9-16280-23030</t>
  </si>
  <si>
    <t>GW273-00030</t>
  </si>
  <si>
    <t>90467-06084</t>
  </si>
  <si>
    <t>GW325-00480</t>
  </si>
  <si>
    <t>13885-41010</t>
  </si>
  <si>
    <t>GW523-00010</t>
  </si>
  <si>
    <t>GW534-00010</t>
  </si>
  <si>
    <t>GW425-00150A</t>
  </si>
  <si>
    <t>GW486-00010</t>
  </si>
  <si>
    <t>GW273-00050</t>
  </si>
  <si>
    <t>GW273-00040</t>
  </si>
  <si>
    <t>700-314-201B</t>
  </si>
  <si>
    <t>700-314-B1</t>
  </si>
  <si>
    <t>55643-0D230</t>
  </si>
  <si>
    <t>TJ530BR</t>
  </si>
  <si>
    <t>TRC104N-201B</t>
  </si>
  <si>
    <t>PAX 1490</t>
  </si>
  <si>
    <t>WP 1053</t>
  </si>
  <si>
    <t>450Y-X10</t>
  </si>
  <si>
    <t>CMQ00178</t>
  </si>
  <si>
    <t>CMQ00179</t>
  </si>
  <si>
    <t>LA 611T BR</t>
  </si>
  <si>
    <t>PX10X07B1</t>
  </si>
  <si>
    <t>LA 611T 202B</t>
  </si>
  <si>
    <t>PP - LA880BR</t>
  </si>
  <si>
    <t>PP - TJ923BR</t>
  </si>
  <si>
    <t>GK220-23230</t>
  </si>
  <si>
    <t>HOSTACOM N048 201B</t>
  </si>
  <si>
    <t>HOSTACOM N048 202B</t>
  </si>
  <si>
    <t>30000R255</t>
  </si>
  <si>
    <t>C20015482-50</t>
  </si>
  <si>
    <t>C20011840-50</t>
  </si>
  <si>
    <t>A93889001-51</t>
  </si>
  <si>
    <t>H201 HADNER</t>
  </si>
  <si>
    <t>11SV14</t>
  </si>
  <si>
    <t>11GY45</t>
  </si>
  <si>
    <t>3000T522</t>
  </si>
  <si>
    <t>R-160HS-21BK27</t>
  </si>
  <si>
    <t>R248-21BK01</t>
  </si>
  <si>
    <t>3000-1295</t>
  </si>
  <si>
    <t>RECRACK77M21SV78</t>
  </si>
  <si>
    <t>T-160HS202</t>
  </si>
  <si>
    <t>201-200-477M</t>
  </si>
  <si>
    <t>21BK18-R160HS</t>
  </si>
  <si>
    <t>30000805-2</t>
  </si>
  <si>
    <t>T-8110</t>
  </si>
  <si>
    <t>R-224821BK02</t>
  </si>
  <si>
    <t>M400029301</t>
  </si>
  <si>
    <t>C026185000</t>
  </si>
  <si>
    <t>C000273000</t>
  </si>
  <si>
    <t>NB901IN201</t>
  </si>
  <si>
    <t>T-5070</t>
  </si>
  <si>
    <t>H-2275</t>
  </si>
  <si>
    <t>11BK01 R2275</t>
  </si>
  <si>
    <t>GK220-17430</t>
  </si>
  <si>
    <t>GK220-21170</t>
  </si>
  <si>
    <t>GK220-21190</t>
  </si>
  <si>
    <t>GK220-22070</t>
  </si>
  <si>
    <t>GK220-22080</t>
  </si>
  <si>
    <t>GK220-22110</t>
  </si>
  <si>
    <t>90467-05172</t>
  </si>
  <si>
    <t>GK220-17450</t>
  </si>
  <si>
    <t>90467-13082</t>
  </si>
  <si>
    <t>58808-0D430</t>
  </si>
  <si>
    <t>58843-0D290</t>
  </si>
  <si>
    <t>58843-0D300</t>
  </si>
  <si>
    <t>90467-12080</t>
  </si>
  <si>
    <t>90468-05135</t>
  </si>
  <si>
    <t>GK220-23250-S</t>
  </si>
  <si>
    <t>GN469-00650</t>
  </si>
  <si>
    <t>GN469-00660</t>
  </si>
  <si>
    <t>GN469-00670</t>
  </si>
  <si>
    <t>GN469-00680</t>
  </si>
  <si>
    <t>MISC2309</t>
  </si>
  <si>
    <t>55416-60030</t>
  </si>
  <si>
    <t>55443-12110-C</t>
  </si>
  <si>
    <t>58904-02420</t>
  </si>
  <si>
    <t>83950-02590</t>
  </si>
  <si>
    <t>67771-X1700</t>
  </si>
  <si>
    <t>90168-40061-B</t>
  </si>
  <si>
    <t>90467-05171</t>
  </si>
  <si>
    <t>90468-08048</t>
  </si>
  <si>
    <t>93560-14012</t>
  </si>
  <si>
    <t>GK220-03930</t>
  </si>
  <si>
    <t>GK220-20180A</t>
  </si>
  <si>
    <t>GK220-21640</t>
  </si>
  <si>
    <t>GK220-21650</t>
  </si>
  <si>
    <t>GK220-21750</t>
  </si>
  <si>
    <t>GK220-21820</t>
  </si>
  <si>
    <t>GK220-21830</t>
  </si>
  <si>
    <t>GK220-23550</t>
  </si>
  <si>
    <t>GK220-23560</t>
  </si>
  <si>
    <t>GK220-24620</t>
  </si>
  <si>
    <t>GK220-24770</t>
  </si>
  <si>
    <t>GK220-24780</t>
  </si>
  <si>
    <t>EMB-GDBR-06</t>
  </si>
  <si>
    <t>EMB-GDBR-07</t>
  </si>
  <si>
    <t>ETIQ-0K220</t>
  </si>
  <si>
    <t>ETIQ-0K230</t>
  </si>
  <si>
    <t>ETIQ-0K260</t>
  </si>
  <si>
    <t>ETIQ-0K270</t>
  </si>
  <si>
    <t>ETIQ-0KX10</t>
  </si>
  <si>
    <t>ETIQ-YP030</t>
  </si>
  <si>
    <t>ETIQ-YP060</t>
  </si>
  <si>
    <t>GG620-00520</t>
  </si>
  <si>
    <t>GG628-00100</t>
  </si>
  <si>
    <t>GG629-00020</t>
  </si>
  <si>
    <t>GG629-00040</t>
  </si>
  <si>
    <t>GG629-00050</t>
  </si>
  <si>
    <t>GG699-00610</t>
  </si>
  <si>
    <t>81942-52620</t>
  </si>
  <si>
    <t>81942-52630</t>
  </si>
  <si>
    <t>81942-52640</t>
  </si>
  <si>
    <t>81942-52650</t>
  </si>
  <si>
    <t>90467-10203</t>
  </si>
  <si>
    <t>GK220-24010</t>
  </si>
  <si>
    <t>58842-0D250 TG</t>
  </si>
  <si>
    <t>Setor 
Destino</t>
  </si>
  <si>
    <t>Prensa 1</t>
  </si>
  <si>
    <t>Prensa 2</t>
  </si>
  <si>
    <t>Prensa 3</t>
  </si>
  <si>
    <t>Prensa 4</t>
  </si>
  <si>
    <t>Prensa 5</t>
  </si>
  <si>
    <t>Prensa 6</t>
  </si>
  <si>
    <t>Extrusora TPV</t>
  </si>
  <si>
    <t>Filtragem</t>
  </si>
  <si>
    <t>Rolo</t>
  </si>
  <si>
    <t>Linha 1</t>
  </si>
  <si>
    <t>Linha 2</t>
  </si>
  <si>
    <t>Linha 3</t>
  </si>
  <si>
    <t>Linha 4</t>
  </si>
  <si>
    <t>Linha 5</t>
  </si>
  <si>
    <t>Linha 6</t>
  </si>
  <si>
    <t>Linha 7</t>
  </si>
  <si>
    <t>Linha 8</t>
  </si>
  <si>
    <t>Linha 9</t>
  </si>
  <si>
    <t>Linha 10</t>
  </si>
  <si>
    <t>Linha 11</t>
  </si>
  <si>
    <t>Injetora 850T</t>
  </si>
  <si>
    <t>Mesa Rodinho</t>
  </si>
  <si>
    <t>Extrusora Sponge</t>
  </si>
  <si>
    <t>Injetora 350-1</t>
  </si>
  <si>
    <t>Injetora 350-2</t>
  </si>
  <si>
    <t>Injetora 350-3</t>
  </si>
  <si>
    <t>Injetora 350-4</t>
  </si>
  <si>
    <t>Injetora 230-1</t>
  </si>
  <si>
    <t>Injetora 230-2</t>
  </si>
  <si>
    <t>Mesa 1A</t>
  </si>
  <si>
    <t>Mesa 2A</t>
  </si>
  <si>
    <t>Mesa 3A</t>
  </si>
  <si>
    <t>Mesa 4A</t>
  </si>
  <si>
    <t>Mesa 5A</t>
  </si>
  <si>
    <t>Mesa 6A</t>
  </si>
  <si>
    <t>Mesa 7A</t>
  </si>
  <si>
    <t>Mesa 1B</t>
  </si>
  <si>
    <t>Mesa 2B</t>
  </si>
  <si>
    <t>Mesa 3B</t>
  </si>
  <si>
    <t>Mesa 4B</t>
  </si>
  <si>
    <t>Mesa 5B</t>
  </si>
  <si>
    <t>Mesa 6B</t>
  </si>
  <si>
    <t>Mesa 7B</t>
  </si>
  <si>
    <t>Mesa 8B</t>
  </si>
  <si>
    <t>Mesa 8A</t>
  </si>
  <si>
    <t>Cabine 1</t>
  </si>
  <si>
    <t>Cabine 2</t>
  </si>
  <si>
    <t>Cabine 3</t>
  </si>
  <si>
    <t>Tempo
Setup</t>
  </si>
  <si>
    <t>Tempo Paradas Prog.</t>
  </si>
  <si>
    <t>Tempo Paradas Não Prog.</t>
  </si>
  <si>
    <t>Tempo Ocioso</t>
  </si>
  <si>
    <t>Tempo
Produtivo</t>
  </si>
  <si>
    <t>Setores</t>
  </si>
  <si>
    <t>Perda
(KG)</t>
  </si>
  <si>
    <t>Mesa PAD RH</t>
  </si>
  <si>
    <t>Mesa PAD LH</t>
  </si>
  <si>
    <t>Tipo de 
Movimentação</t>
  </si>
  <si>
    <t>Setup 
(KG)</t>
  </si>
  <si>
    <t>Quantidade</t>
  </si>
  <si>
    <t>Para uso em casos de Transferências ou Baixas</t>
  </si>
  <si>
    <t>Componente</t>
  </si>
  <si>
    <t>Maquina 1</t>
  </si>
  <si>
    <t>Maquina 2</t>
  </si>
  <si>
    <t>Maquina 3</t>
  </si>
  <si>
    <t>Maquina 4</t>
  </si>
  <si>
    <t>Maquina 5-6-7</t>
  </si>
  <si>
    <t>Maquina 7-8-9</t>
  </si>
  <si>
    <t>Maquina 10-11</t>
  </si>
  <si>
    <t>Maquina 12-13</t>
  </si>
  <si>
    <t>Maquina 14</t>
  </si>
  <si>
    <t>Maquina 15</t>
  </si>
  <si>
    <t>Robo 1</t>
  </si>
  <si>
    <t>Robo 2</t>
  </si>
  <si>
    <t>Robo 3</t>
  </si>
  <si>
    <t>Robo 4</t>
  </si>
  <si>
    <t>Maquina 5</t>
  </si>
  <si>
    <t>Maquina 6</t>
  </si>
  <si>
    <t>Maquina 7</t>
  </si>
  <si>
    <t>Asakai/Reunião</t>
  </si>
  <si>
    <t>Almoço/Janta</t>
  </si>
  <si>
    <t>Tempo
Sem Demanda</t>
  </si>
  <si>
    <t>Qtd. de peças produzidas por hora e por máquina</t>
  </si>
  <si>
    <t>TRANSFERÊNCIA</t>
  </si>
  <si>
    <t>QUALIDADE</t>
  </si>
  <si>
    <t>K-084</t>
  </si>
  <si>
    <t>K-085</t>
  </si>
  <si>
    <t>K-079</t>
  </si>
  <si>
    <t>K-080</t>
  </si>
  <si>
    <t>K-081</t>
  </si>
  <si>
    <t>G-039</t>
  </si>
  <si>
    <t>G-041</t>
  </si>
  <si>
    <t>G-040</t>
  </si>
  <si>
    <t>G-042</t>
  </si>
  <si>
    <t>Z-016</t>
  </si>
  <si>
    <t>Z-017</t>
  </si>
  <si>
    <t>Z-018</t>
  </si>
  <si>
    <t>K-082</t>
  </si>
  <si>
    <t>K-083</t>
  </si>
  <si>
    <t>S-079</t>
  </si>
  <si>
    <t>S-080</t>
  </si>
  <si>
    <t>S-081</t>
  </si>
  <si>
    <t>T-081</t>
  </si>
  <si>
    <t>O-054</t>
  </si>
  <si>
    <t>O-057</t>
  </si>
  <si>
    <t>O-055</t>
  </si>
  <si>
    <t>O-056</t>
  </si>
  <si>
    <t>O-058</t>
  </si>
  <si>
    <t>O-059</t>
  </si>
  <si>
    <t>S-082</t>
  </si>
  <si>
    <t>S-083</t>
  </si>
  <si>
    <t>M-210</t>
  </si>
  <si>
    <t>M-211</t>
  </si>
  <si>
    <t>M-214</t>
  </si>
  <si>
    <t>M-215</t>
  </si>
  <si>
    <t>M-216</t>
  </si>
  <si>
    <t>M-217</t>
  </si>
  <si>
    <t>B-210</t>
  </si>
  <si>
    <t>B-211</t>
  </si>
  <si>
    <t>B-214</t>
  </si>
  <si>
    <t>B-215</t>
  </si>
  <si>
    <t>B-216</t>
  </si>
  <si>
    <t>B-217</t>
  </si>
  <si>
    <t>A-210</t>
  </si>
  <si>
    <t>A-211</t>
  </si>
  <si>
    <t>A-214</t>
  </si>
  <si>
    <t>A-215</t>
  </si>
  <si>
    <t>A-216</t>
  </si>
  <si>
    <t>A-217</t>
  </si>
  <si>
    <t>GA229-44080-B</t>
  </si>
  <si>
    <t>GA332-06330</t>
  </si>
  <si>
    <t>GA240-21790</t>
  </si>
  <si>
    <t>GW253-00660</t>
  </si>
  <si>
    <t>GW253-00740</t>
  </si>
  <si>
    <t>GW359-00050</t>
  </si>
  <si>
    <t>GW713-00150</t>
  </si>
  <si>
    <t>55620-0A030</t>
  </si>
  <si>
    <t>55626-0A010</t>
  </si>
  <si>
    <t>58827-12020</t>
  </si>
  <si>
    <t>K-086</t>
  </si>
  <si>
    <t>K-087</t>
  </si>
  <si>
    <t>K-088</t>
  </si>
  <si>
    <t>K-089</t>
  </si>
  <si>
    <t>K-090</t>
  </si>
  <si>
    <t>K-091</t>
  </si>
  <si>
    <t>K-092</t>
  </si>
  <si>
    <t>K-093</t>
  </si>
  <si>
    <t>K-094</t>
  </si>
  <si>
    <t>K-095</t>
  </si>
  <si>
    <t>K-096</t>
  </si>
  <si>
    <t>K-097</t>
  </si>
  <si>
    <t>K-098</t>
  </si>
  <si>
    <t>K-099</t>
  </si>
  <si>
    <t>K-100</t>
  </si>
  <si>
    <t>K-101</t>
  </si>
  <si>
    <t>K-102</t>
  </si>
  <si>
    <t>K-103</t>
  </si>
  <si>
    <t>T-082</t>
  </si>
  <si>
    <t>T-083</t>
  </si>
  <si>
    <t>T-084</t>
  </si>
  <si>
    <t>T-085</t>
  </si>
  <si>
    <t>T-086</t>
  </si>
  <si>
    <t>T-087</t>
  </si>
  <si>
    <t>T-088</t>
  </si>
  <si>
    <t>T-089</t>
  </si>
  <si>
    <t>S-084</t>
  </si>
  <si>
    <t>M-012</t>
  </si>
  <si>
    <t>M-013</t>
  </si>
  <si>
    <t>Mesa 6</t>
  </si>
  <si>
    <t>Mesa 5</t>
  </si>
  <si>
    <t>GA341-02930-B</t>
  </si>
  <si>
    <t>GA341-02940-B</t>
  </si>
  <si>
    <t>GA399-11880-E</t>
  </si>
  <si>
    <t>GA399-11890-E</t>
  </si>
  <si>
    <t>GA229-44080-D</t>
  </si>
  <si>
    <t>K-104</t>
  </si>
  <si>
    <t>K-105</t>
  </si>
  <si>
    <t>K-106</t>
  </si>
  <si>
    <t>K-107</t>
  </si>
  <si>
    <t>K-108</t>
  </si>
  <si>
    <t>K-109</t>
  </si>
  <si>
    <t>K-110</t>
  </si>
  <si>
    <t>T-090</t>
  </si>
  <si>
    <t>T-091</t>
  </si>
  <si>
    <t>T-092</t>
  </si>
  <si>
    <t>T-093</t>
  </si>
  <si>
    <t>T-094</t>
  </si>
  <si>
    <t>T-095</t>
  </si>
  <si>
    <t>M-001</t>
  </si>
  <si>
    <t>M-002</t>
  </si>
  <si>
    <t>M-003</t>
  </si>
  <si>
    <t>M-004</t>
  </si>
  <si>
    <t>M-010</t>
  </si>
  <si>
    <t>M-011</t>
  </si>
  <si>
    <t>M-014</t>
  </si>
  <si>
    <t>M-015</t>
  </si>
  <si>
    <t>M-016</t>
  </si>
  <si>
    <t>M-017</t>
  </si>
  <si>
    <t>M-020</t>
  </si>
  <si>
    <t>M-021</t>
  </si>
  <si>
    <t>M-022</t>
  </si>
  <si>
    <t>M-023</t>
  </si>
  <si>
    <t>M-024</t>
  </si>
  <si>
    <t>M-025</t>
  </si>
  <si>
    <t>M-030</t>
  </si>
  <si>
    <t>M-031</t>
  </si>
  <si>
    <t>M-032</t>
  </si>
  <si>
    <t>M-033</t>
  </si>
  <si>
    <t>M-035</t>
  </si>
  <si>
    <t>M-036</t>
  </si>
  <si>
    <t>M-037</t>
  </si>
  <si>
    <t>M-038</t>
  </si>
  <si>
    <t>M-039</t>
  </si>
  <si>
    <t>M-040</t>
  </si>
  <si>
    <t>M-041</t>
  </si>
  <si>
    <t>M-042</t>
  </si>
  <si>
    <t>Mesa 1</t>
  </si>
  <si>
    <t>Mesa 2</t>
  </si>
  <si>
    <t>Mesa 3</t>
  </si>
  <si>
    <t>Mesa 4</t>
  </si>
  <si>
    <t>Mesa 7</t>
  </si>
  <si>
    <t>Mesa 8</t>
  </si>
  <si>
    <t>Mesa 9</t>
  </si>
  <si>
    <t>Mesa 10</t>
  </si>
  <si>
    <t>Parada Utilidades</t>
  </si>
  <si>
    <t>Problema Robo</t>
  </si>
  <si>
    <t>Sensor Troca Molde</t>
  </si>
  <si>
    <t>Limpeza Triturador</t>
  </si>
  <si>
    <t>Ajuste Prob Garra</t>
  </si>
  <si>
    <t>Ajuste Maq Defeito</t>
  </si>
  <si>
    <t>Restart Paradas Prog</t>
  </si>
  <si>
    <t>Contaminacao MP</t>
  </si>
  <si>
    <t xml:space="preserve">Falta Embalagem </t>
  </si>
  <si>
    <t>Prob Exaust-Insu Cab</t>
  </si>
  <si>
    <t>Trocar Fita Robo</t>
  </si>
  <si>
    <t>Avaliacao Def Inj</t>
  </si>
  <si>
    <t>2S1Y</t>
  </si>
  <si>
    <t>Reuniao</t>
  </si>
  <si>
    <t>Falta Materia Prima</t>
  </si>
  <si>
    <t>Queda De Energia</t>
  </si>
  <si>
    <t>Falta De Agua</t>
  </si>
  <si>
    <t>Ferramentaria</t>
  </si>
  <si>
    <t>Operacional</t>
  </si>
  <si>
    <t>Funcional</t>
  </si>
  <si>
    <t>CATEGORIA</t>
  </si>
  <si>
    <t>Categoria</t>
  </si>
  <si>
    <t>Curto Circuito</t>
  </si>
  <si>
    <t>Falhas Secadores MP</t>
  </si>
  <si>
    <t>Falha Plataforma Molde</t>
  </si>
  <si>
    <t>Falhas Equipamentos</t>
  </si>
  <si>
    <t>Falta Ar Comprimido</t>
  </si>
  <si>
    <t>Falta Agua Industrial</t>
  </si>
  <si>
    <t>Falta Energia</t>
  </si>
  <si>
    <t>Parada Linha Injetora</t>
  </si>
  <si>
    <t>Polimento Cavidades</t>
  </si>
  <si>
    <t>Falha Camara Quente</t>
  </si>
  <si>
    <t>Falha Resfriamento</t>
  </si>
  <si>
    <t>Quebra Componentes</t>
  </si>
  <si>
    <t>Troca Pecas</t>
  </si>
  <si>
    <t>Erro Operacional</t>
  </si>
  <si>
    <t>Ajuste Molde</t>
  </si>
  <si>
    <t>Sensor Porta</t>
  </si>
  <si>
    <t>Vazamento Agua</t>
  </si>
  <si>
    <t>Ajuste Maquina</t>
  </si>
  <si>
    <t>Limpeza Bico Injecao</t>
  </si>
  <si>
    <t>Mudanca Layout</t>
  </si>
  <si>
    <t>Soldagem Pecas</t>
  </si>
  <si>
    <t>Suporte Producao</t>
  </si>
  <si>
    <t>Falha Utilidades</t>
  </si>
  <si>
    <t>Ajuste Com Tesoura</t>
  </si>
  <si>
    <t>Ajuste Parametros</t>
  </si>
  <si>
    <t>Limpeza Maquina</t>
  </si>
  <si>
    <t>Negligencia IT</t>
  </si>
  <si>
    <t>Troca Caixa Galho</t>
  </si>
  <si>
    <t>Falta Colaborador</t>
  </si>
  <si>
    <t>Descida Material</t>
  </si>
  <si>
    <t>Falta Componente</t>
  </si>
  <si>
    <t>Falta Carrinho</t>
  </si>
  <si>
    <t>Parada Linha Pintura</t>
  </si>
  <si>
    <t>Reg Ar Comprimido</t>
  </si>
  <si>
    <t>Falta Peca Proc Anterior</t>
  </si>
  <si>
    <t>Falhas Robos Kawasaki</t>
  </si>
  <si>
    <t>Troca Bico Robo</t>
  </si>
  <si>
    <t>Troca Sistema</t>
  </si>
  <si>
    <t xml:space="preserve">Falha Utilidades </t>
  </si>
  <si>
    <t>Limpeza Jigs</t>
  </si>
  <si>
    <t>Troca Filtros</t>
  </si>
  <si>
    <t>Limpeza Robo</t>
  </si>
  <si>
    <t>Molhar GraChao Rb</t>
  </si>
  <si>
    <t>Erro Servidor Ti</t>
  </si>
  <si>
    <t>Falha Internet</t>
  </si>
  <si>
    <t>Usinagem Pecas</t>
  </si>
  <si>
    <t>Troca Facas</t>
  </si>
  <si>
    <t>Troca Brocas</t>
  </si>
  <si>
    <t>Parada Linha WS GR</t>
  </si>
  <si>
    <t>Troca Sealer</t>
  </si>
  <si>
    <t>Parada Linha Extrusora</t>
  </si>
  <si>
    <t>Maquinas e Equip.</t>
  </si>
  <si>
    <t>ENGENHARIA</t>
  </si>
  <si>
    <t>A-250</t>
  </si>
  <si>
    <t>A-251</t>
  </si>
  <si>
    <t>A-252</t>
  </si>
  <si>
    <t>A-253</t>
  </si>
  <si>
    <t>A-254</t>
  </si>
  <si>
    <t>A-255</t>
  </si>
  <si>
    <t>C-250</t>
  </si>
  <si>
    <t>C-251</t>
  </si>
  <si>
    <t>C-252</t>
  </si>
  <si>
    <t>C-253</t>
  </si>
  <si>
    <t>C-254</t>
  </si>
  <si>
    <t>C-255</t>
  </si>
  <si>
    <t>M-250</t>
  </si>
  <si>
    <t>M-251</t>
  </si>
  <si>
    <t>M-252</t>
  </si>
  <si>
    <t>M-253</t>
  </si>
  <si>
    <t>M-254</t>
  </si>
  <si>
    <t>M-255</t>
  </si>
  <si>
    <t>V-250</t>
  </si>
  <si>
    <t>V-251</t>
  </si>
  <si>
    <t>V-252</t>
  </si>
  <si>
    <t>V-253</t>
  </si>
  <si>
    <t>V-254</t>
  </si>
  <si>
    <t>V-255</t>
  </si>
  <si>
    <t>Prensa BD</t>
  </si>
  <si>
    <t>Maq de corte</t>
  </si>
  <si>
    <t>Maq Sealer</t>
  </si>
  <si>
    <t>GA331-04110</t>
  </si>
  <si>
    <t>GA344-03280</t>
  </si>
  <si>
    <t>GA344-03290</t>
  </si>
  <si>
    <t>GA39400380</t>
  </si>
  <si>
    <t>GA230-081390</t>
  </si>
  <si>
    <t>MOTIVO / PARADAS NÃO PROGRAMADAS</t>
  </si>
  <si>
    <t>Turno</t>
  </si>
  <si>
    <t>Horário de Produção</t>
  </si>
  <si>
    <t xml:space="preserve"> Paradas Não Programadas</t>
  </si>
  <si>
    <t>Maq Abertura 1</t>
  </si>
  <si>
    <t>Maq Abertura 2</t>
  </si>
  <si>
    <t>Maq Abertura 3</t>
  </si>
  <si>
    <t>Maq Abertura 4</t>
  </si>
  <si>
    <t>Inspecao</t>
  </si>
  <si>
    <t>Z-030</t>
  </si>
  <si>
    <t>Z-031</t>
  </si>
  <si>
    <t>Z-032</t>
  </si>
  <si>
    <t>Z-033</t>
  </si>
  <si>
    <t>Máquina/
Linha</t>
  </si>
  <si>
    <t>LOGÍSTICA</t>
  </si>
  <si>
    <t>Componentes</t>
  </si>
  <si>
    <t>Tipos de turnos</t>
  </si>
  <si>
    <t>Horas Extras</t>
  </si>
  <si>
    <t>GA230-08870</t>
  </si>
  <si>
    <t>GW111-00261-A</t>
  </si>
  <si>
    <t>Motivo 
1</t>
  </si>
  <si>
    <t>Motivo 
2</t>
  </si>
  <si>
    <t>Motivo 
3</t>
  </si>
  <si>
    <t>Motivo 
4</t>
  </si>
  <si>
    <t>Categoria
1</t>
  </si>
  <si>
    <t>Categoria
2</t>
  </si>
  <si>
    <t>Categoria
3</t>
  </si>
  <si>
    <t>Categoria
4</t>
  </si>
  <si>
    <t>Linha 12</t>
  </si>
  <si>
    <t>Linha 13</t>
  </si>
  <si>
    <t>ASSY Volante 1</t>
  </si>
  <si>
    <t>ASSY Volante 2</t>
  </si>
  <si>
    <t>G-270</t>
  </si>
  <si>
    <t>S-086</t>
  </si>
  <si>
    <t>S-089</t>
  </si>
  <si>
    <t>S-087</t>
  </si>
  <si>
    <t>S-088</t>
  </si>
  <si>
    <t>S-085</t>
  </si>
  <si>
    <t>T-096</t>
  </si>
  <si>
    <t>O-270</t>
  </si>
  <si>
    <t>58808-0D390</t>
  </si>
  <si>
    <t>AC7080402</t>
  </si>
  <si>
    <t>AC7080609</t>
  </si>
  <si>
    <t>AC7080703</t>
  </si>
  <si>
    <t>AC7080864</t>
  </si>
  <si>
    <t>GA229-44080-E</t>
  </si>
  <si>
    <t>GA240-21720</t>
  </si>
  <si>
    <t>GK220-26590</t>
  </si>
  <si>
    <t>Retrabalho</t>
  </si>
  <si>
    <t>Total Descarte</t>
  </si>
  <si>
    <t>Tempo Retrabalho</t>
  </si>
  <si>
    <t>Total Defeitos + Descarte</t>
  </si>
  <si>
    <t>Descarte</t>
  </si>
  <si>
    <t>T-009</t>
  </si>
  <si>
    <t>Cód. do Componente
OU
Kanban Intermedário</t>
  </si>
  <si>
    <t>REC-1</t>
  </si>
  <si>
    <t>UNIDADE</t>
  </si>
  <si>
    <t>UN</t>
  </si>
  <si>
    <t>MT</t>
  </si>
  <si>
    <t>KT</t>
  </si>
  <si>
    <t>PC</t>
  </si>
  <si>
    <t>Devolucao</t>
  </si>
  <si>
    <t>RETRABALHO</t>
  </si>
  <si>
    <t>DESCARTE</t>
  </si>
  <si>
    <t>Pino deformado</t>
  </si>
  <si>
    <t>Pino alojado no molde</t>
  </si>
  <si>
    <t>Solda Baixa</t>
  </si>
  <si>
    <t>Defeito de Injetora</t>
  </si>
  <si>
    <t>Defeito de Pintura</t>
  </si>
  <si>
    <t>UN.</t>
  </si>
  <si>
    <t xml:space="preserve">      Perdas (KG)</t>
  </si>
  <si>
    <t>Revisão 1.2 01/06/21</t>
  </si>
  <si>
    <t>Horas de Retrabalho</t>
  </si>
  <si>
    <t>DEFEITOS / RETRABALHO</t>
  </si>
  <si>
    <t>Unidade de Medida</t>
  </si>
  <si>
    <t>Try out</t>
  </si>
  <si>
    <t>Informações de Try Out</t>
  </si>
  <si>
    <t>BAIXA</t>
  </si>
  <si>
    <t>Pega-Po</t>
  </si>
  <si>
    <t>Marca de Agua</t>
  </si>
  <si>
    <t>Bolha</t>
  </si>
  <si>
    <t>Excesso de cola</t>
  </si>
  <si>
    <t>Falha do furo</t>
  </si>
  <si>
    <t>Falha no sensor de emenda</t>
  </si>
  <si>
    <t>Falta de clip</t>
  </si>
  <si>
    <t>Falta de cola</t>
  </si>
  <si>
    <t>Perfil rasgado</t>
  </si>
  <si>
    <t>Queda de energia</t>
  </si>
  <si>
    <t>Falha na solda</t>
  </si>
  <si>
    <t>Rebarba no molde</t>
  </si>
  <si>
    <t>Anormalidades Anteriores</t>
  </si>
  <si>
    <t xml:space="preserve">Erro operacional </t>
  </si>
  <si>
    <t>Problemas de TAPE</t>
  </si>
  <si>
    <t xml:space="preserve">Outros </t>
  </si>
  <si>
    <t>Corte no Bulbo</t>
  </si>
  <si>
    <t>Falha no Corte</t>
  </si>
  <si>
    <t>Falha do equipamento</t>
  </si>
  <si>
    <t>Furo rasgado</t>
  </si>
  <si>
    <t>Rolete do Lip</t>
  </si>
  <si>
    <t>Processo de Ranhura</t>
  </si>
  <si>
    <t>Serrilhado</t>
  </si>
  <si>
    <t>Rasgo de Extrusao</t>
  </si>
  <si>
    <t>Contaminacao</t>
  </si>
  <si>
    <t>Falha de Injecao</t>
  </si>
  <si>
    <t>Peca Batida</t>
  </si>
  <si>
    <t xml:space="preserve">Peca mordida </t>
  </si>
  <si>
    <t>Peca dobrado</t>
  </si>
  <si>
    <t>Peca crua</t>
  </si>
  <si>
    <t>Peca Deformada</t>
  </si>
  <si>
    <t>Peca Mordida</t>
  </si>
  <si>
    <t>Peca sem Insert</t>
  </si>
  <si>
    <t>Deformacao</t>
  </si>
  <si>
    <t>Ondulacao</t>
  </si>
  <si>
    <t>Materia Prima</t>
  </si>
  <si>
    <t>Furo Obstruido</t>
  </si>
  <si>
    <t>Residuo de cola</t>
  </si>
  <si>
    <t>Entupimento de Bico</t>
  </si>
  <si>
    <t>Escape Trav. Maq</t>
  </si>
  <si>
    <t>Peças Prod.</t>
  </si>
  <si>
    <t>Qtd Peças enviadas para Retrabalho</t>
  </si>
  <si>
    <t>Qtd de Peças Retrabalhadas</t>
  </si>
  <si>
    <t xml:space="preserve">   Tempo de Setup</t>
  </si>
  <si>
    <t>Tempo produtivo</t>
  </si>
  <si>
    <t>Peças produzidas</t>
  </si>
  <si>
    <t>Produção real</t>
  </si>
  <si>
    <t>Produção teórica</t>
  </si>
  <si>
    <t>Setor</t>
  </si>
  <si>
    <t>CT</t>
  </si>
  <si>
    <t>IE-INJECAO</t>
  </si>
  <si>
    <t>K-045</t>
  </si>
  <si>
    <t>T-013/23 1ºOP</t>
  </si>
  <si>
    <t>T-014-1</t>
  </si>
  <si>
    <t>S-090</t>
  </si>
  <si>
    <t>S-091</t>
  </si>
  <si>
    <t>S-092</t>
  </si>
  <si>
    <t>S-093</t>
  </si>
  <si>
    <t>Validação
Un.</t>
  </si>
  <si>
    <t>Peças boas</t>
  </si>
  <si>
    <t>Paradas não prog.</t>
  </si>
  <si>
    <t>OEE</t>
  </si>
  <si>
    <t>Disponibilidade</t>
  </si>
  <si>
    <t>Performance</t>
  </si>
  <si>
    <t>Qualidade</t>
  </si>
  <si>
    <t>Tempos de ciclo</t>
  </si>
  <si>
    <t xml:space="preserve">            Defeitos (Retrabalho)</t>
  </si>
  <si>
    <t>Motivo do Try Out</t>
  </si>
  <si>
    <t>Defeitos</t>
  </si>
  <si>
    <t>Perdas (KG)</t>
  </si>
  <si>
    <t>Código do 
Material</t>
  </si>
  <si>
    <t>PRODUCAO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</si>
</sst>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-* #,##0.00_-;\-* #,##0.00_-;_-* &quot;-&quot;??_-;_-@_-"/>
    <numFmt numFmtId="164" formatCode="_-* #,##0_-;\-* #,##0_-;_-* &quot;-&quot;??_-;_-@_-"/>
    <numFmt numFmtId="165" formatCode="h:mm;@"/>
    <numFmt numFmtId="166" formatCode="[h]:mm"/>
    <numFmt numFmtId="167" formatCode="0.0"/>
    <numFmt numFmtId="168" formatCode="0.00000"/>
    <numFmt numFmtId="169" formatCode="#,##0_ ;\-#,##0\ "/>
    <numFmt numFmtId="170" formatCode="#,##0.00_ ;\-#,##0.00\ "/>
    <numFmt numFmtId="171" formatCode="0.0%"/>
  </numFmts>
  <fonts count="53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8"/>
      <color rgb="FF000000"/>
      <name val="Segoe UI"/>
      <family val="2"/>
    </font>
    <font>
      <sz val="11"/>
      <color rgb="FF00206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</font>
    <font>
      <sz val="11"/>
      <color rgb="FFFFFF00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rgb="FF00FFFF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1"/>
      <name val="Arial"/>
      <family val="2"/>
    </font>
    <font>
      <sz val="11"/>
      <name val="Arial"/>
      <family val="2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ＭＳ Ｐゴシック"/>
      <family val="3"/>
      <charset val="128"/>
    </font>
    <font>
      <sz val="10"/>
      <color theme="0"/>
      <name val="Calibri"/>
      <family val="2"/>
      <scheme val="minor"/>
    </font>
    <font>
      <sz val="9"/>
      <color rgb="FFFFFF00"/>
      <name val="Calibri"/>
      <family val="2"/>
      <scheme val="minor"/>
    </font>
    <font>
      <sz val="10"/>
      <color rgb="FF00206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1"/>
      <name val="Arial"/>
      <family val="2"/>
    </font>
    <font>
      <b/>
      <i/>
      <sz val="10"/>
      <color rgb="FF002060"/>
      <name val="Calibri"/>
      <family val="2"/>
      <scheme val="minor"/>
    </font>
    <font>
      <b/>
      <sz val="10"/>
      <color rgb="FF002060"/>
      <name val="Calibri"/>
      <family val="2"/>
      <scheme val="minor"/>
    </font>
    <font>
      <sz val="10"/>
      <name val="Arial"/>
      <family val="2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sz val="10.5"/>
      <name val="Calibri"/>
      <family val="2"/>
      <scheme val="minor"/>
    </font>
    <font>
      <sz val="10.5"/>
      <color theme="0"/>
      <name val="Calibri"/>
      <family val="2"/>
      <scheme val="minor"/>
    </font>
    <font>
      <sz val="9"/>
      <name val="Calibri"/>
      <family val="2"/>
      <scheme val="minor"/>
    </font>
    <font>
      <i/>
      <sz val="10.5"/>
      <color theme="0"/>
      <name val="Calibri"/>
      <family val="2"/>
      <scheme val="minor"/>
    </font>
    <font>
      <i/>
      <sz val="10.5"/>
      <name val="Calibri"/>
      <family val="2"/>
      <scheme val="minor"/>
    </font>
    <font>
      <b/>
      <sz val="13"/>
      <name val="Calibri"/>
      <family val="2"/>
      <scheme val="minor"/>
    </font>
    <font>
      <sz val="8"/>
      <color rgb="FF00206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2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8"/>
      <color indexed="81"/>
      <name val="Segoe UI"/>
      <family val="2"/>
    </font>
    <font>
      <sz val="10"/>
      <color theme="2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3CF7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A484C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BE9F3"/>
        <bgColor indexed="64"/>
      </patternFill>
    </fill>
    <fill>
      <patternFill patternType="solid">
        <fgColor theme="2"/>
        <bgColor theme="6" tint="0.79998168889431442"/>
      </patternFill>
    </fill>
  </fills>
  <borders count="41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/>
      <bottom/>
      <diagonal/>
    </border>
    <border>
      <left/>
      <right style="thin">
        <color theme="2" tint="-0.499984740745262"/>
      </right>
      <top/>
      <bottom/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14999847407452621"/>
      </left>
      <right/>
      <top style="thin">
        <color theme="1" tint="0.14999847407452621"/>
      </top>
      <bottom/>
      <diagonal/>
    </border>
    <border>
      <left/>
      <right/>
      <top style="thin">
        <color theme="1" tint="0.14999847407452621"/>
      </top>
      <bottom/>
      <diagonal/>
    </border>
    <border>
      <left/>
      <right style="thin">
        <color theme="1" tint="0.14999847407452621"/>
      </right>
      <top style="thin">
        <color theme="1" tint="0.14999847407452621"/>
      </top>
      <bottom/>
      <diagonal/>
    </border>
    <border>
      <left style="thin">
        <color theme="1" tint="0.14999847407452621"/>
      </left>
      <right/>
      <top/>
      <bottom/>
      <diagonal/>
    </border>
    <border>
      <left/>
      <right style="thin">
        <color theme="1" tint="0.14999847407452621"/>
      </right>
      <top/>
      <bottom/>
      <diagonal/>
    </border>
    <border>
      <left style="thin">
        <color theme="1" tint="0.14999847407452621"/>
      </left>
      <right/>
      <top/>
      <bottom style="thin">
        <color theme="1" tint="0.14999847407452621"/>
      </bottom>
      <diagonal/>
    </border>
    <border>
      <left/>
      <right/>
      <top/>
      <bottom style="thin">
        <color theme="1" tint="0.14999847407452621"/>
      </bottom>
      <diagonal/>
    </border>
    <border>
      <left/>
      <right style="thin">
        <color theme="1" tint="0.14999847407452621"/>
      </right>
      <top/>
      <bottom style="thin">
        <color theme="1" tint="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499984740745262"/>
      </bottom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</borders>
  <cellStyleXfs count="6">
    <xf numFmtId="0" fontId="0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0" fillId="0" borderId="0">
      <alignment vertical="center"/>
    </xf>
    <xf numFmtId="0" fontId="42" fillId="0" borderId="0" applyNumberFormat="0" applyFill="0" applyBorder="0" applyAlignment="0" applyProtection="0"/>
  </cellStyleXfs>
  <cellXfs count="360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" fontId="2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>
      <alignment horizontal="center" vertical="center"/>
    </xf>
    <xf numFmtId="166" fontId="1" fillId="0" borderId="2" xfId="0" applyNumberFormat="1" applyFont="1" applyFill="1" applyBorder="1" applyAlignment="1" applyProtection="1">
      <alignment horizontal="center" vertical="center"/>
    </xf>
    <xf numFmtId="166" fontId="1" fillId="5" borderId="2" xfId="0" applyNumberFormat="1" applyFont="1" applyFill="1" applyBorder="1" applyAlignment="1" applyProtection="1">
      <alignment horizontal="center" vertical="center"/>
    </xf>
    <xf numFmtId="165" fontId="1" fillId="12" borderId="2" xfId="0" applyNumberFormat="1" applyFont="1" applyFill="1" applyBorder="1" applyAlignment="1" applyProtection="1">
      <alignment horizontal="center" vertical="center"/>
      <protection locked="0"/>
    </xf>
    <xf numFmtId="165" fontId="0" fillId="7" borderId="2" xfId="0" applyNumberFormat="1" applyFont="1" applyFill="1" applyBorder="1" applyAlignment="1" applyProtection="1">
      <alignment horizontal="center" vertical="center"/>
      <protection locked="0"/>
    </xf>
    <xf numFmtId="165" fontId="1" fillId="10" borderId="2" xfId="0" applyNumberFormat="1" applyFont="1" applyFill="1" applyBorder="1" applyAlignment="1" applyProtection="1">
      <alignment horizontal="center" vertical="center"/>
      <protection locked="0"/>
    </xf>
    <xf numFmtId="0" fontId="0" fillId="6" borderId="2" xfId="0" applyFill="1" applyBorder="1" applyAlignment="1" applyProtection="1">
      <alignment horizontal="center" vertical="center"/>
    </xf>
    <xf numFmtId="165" fontId="1" fillId="15" borderId="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/>
    <xf numFmtId="166" fontId="0" fillId="0" borderId="0" xfId="0" applyNumberFormat="1" applyFill="1" applyBorder="1" applyAlignment="1">
      <alignment horizontal="center"/>
    </xf>
    <xf numFmtId="0" fontId="0" fillId="0" borderId="8" xfId="0" applyFont="1" applyFill="1" applyBorder="1" applyAlignment="1" applyProtection="1">
      <alignment horizontal="center" vertical="center"/>
      <protection locked="0"/>
    </xf>
    <xf numFmtId="0" fontId="12" fillId="3" borderId="2" xfId="0" applyFont="1" applyFill="1" applyBorder="1" applyAlignment="1" applyProtection="1">
      <alignment horizontal="center" vertical="center" wrapText="1"/>
      <protection hidden="1"/>
    </xf>
    <xf numFmtId="166" fontId="1" fillId="18" borderId="2" xfId="0" applyNumberFormat="1" applyFont="1" applyFill="1" applyBorder="1" applyAlignment="1" applyProtection="1">
      <alignment horizontal="center" vertical="center"/>
      <protection locked="0"/>
    </xf>
    <xf numFmtId="166" fontId="1" fillId="19" borderId="2" xfId="0" applyNumberFormat="1" applyFont="1" applyFill="1" applyBorder="1" applyAlignment="1" applyProtection="1">
      <alignment horizontal="center" vertical="center"/>
      <protection locked="0"/>
    </xf>
    <xf numFmtId="166" fontId="1" fillId="20" borderId="2" xfId="0" applyNumberFormat="1" applyFont="1" applyFill="1" applyBorder="1" applyAlignment="1" applyProtection="1">
      <alignment horizontal="center" vertical="center"/>
      <protection locked="0"/>
    </xf>
    <xf numFmtId="0" fontId="4" fillId="8" borderId="0" xfId="0" applyFont="1" applyFill="1" applyBorder="1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4" fillId="9" borderId="0" xfId="0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1" fillId="12" borderId="0" xfId="0" applyFont="1" applyFill="1" applyBorder="1" applyAlignment="1" applyProtection="1">
      <alignment horizontal="center"/>
      <protection hidden="1"/>
    </xf>
    <xf numFmtId="0" fontId="4" fillId="13" borderId="0" xfId="0" applyFont="1" applyFill="1" applyBorder="1" applyAlignment="1" applyProtection="1">
      <alignment horizontal="center"/>
      <protection hidden="1"/>
    </xf>
    <xf numFmtId="0" fontId="4" fillId="14" borderId="0" xfId="0" applyFont="1" applyFill="1" applyBorder="1" applyAlignment="1" applyProtection="1">
      <alignment horizontal="center"/>
      <protection hidden="1"/>
    </xf>
    <xf numFmtId="0" fontId="4" fillId="0" borderId="0" xfId="0" applyFont="1" applyFill="1" applyBorder="1" applyAlignment="1" applyProtection="1">
      <alignment horizontal="center"/>
      <protection hidden="1"/>
    </xf>
    <xf numFmtId="0" fontId="4" fillId="22" borderId="0" xfId="0" applyFont="1" applyFill="1" applyBorder="1" applyAlignment="1" applyProtection="1">
      <alignment horizontal="center"/>
      <protection hidden="1"/>
    </xf>
    <xf numFmtId="0" fontId="4" fillId="22" borderId="0" xfId="0" applyFont="1" applyFill="1" applyBorder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Protection="1">
      <protection hidden="1"/>
    </xf>
    <xf numFmtId="0" fontId="0" fillId="0" borderId="0" xfId="0" applyFill="1" applyProtection="1">
      <protection hidden="1"/>
    </xf>
    <xf numFmtId="0" fontId="4" fillId="3" borderId="0" xfId="0" applyFont="1" applyFill="1" applyBorder="1" applyAlignment="1" applyProtection="1">
      <alignment horizontal="center"/>
      <protection hidden="1"/>
    </xf>
    <xf numFmtId="0" fontId="0" fillId="0" borderId="0" xfId="0" applyFill="1" applyBorder="1" applyProtection="1">
      <protection hidden="1"/>
    </xf>
    <xf numFmtId="0" fontId="10" fillId="0" borderId="0" xfId="0" applyFont="1" applyProtection="1">
      <protection hidden="1"/>
    </xf>
    <xf numFmtId="0" fontId="4" fillId="3" borderId="0" xfId="0" applyFont="1" applyFill="1" applyAlignment="1" applyProtection="1">
      <alignment horizontal="center"/>
      <protection hidden="1"/>
    </xf>
    <xf numFmtId="0" fontId="8" fillId="0" borderId="0" xfId="0" applyFont="1" applyFill="1" applyBorder="1" applyAlignment="1" applyProtection="1">
      <alignment horizontal="center"/>
      <protection hidden="1"/>
    </xf>
    <xf numFmtId="0" fontId="4" fillId="3" borderId="0" xfId="0" applyFont="1" applyFill="1" applyBorder="1" applyAlignment="1" applyProtection="1">
      <alignment horizontal="left"/>
      <protection hidden="1"/>
    </xf>
    <xf numFmtId="0" fontId="15" fillId="24" borderId="15" xfId="0" applyFont="1" applyFill="1" applyBorder="1" applyAlignment="1" applyProtection="1">
      <alignment horizontal="left" vertical="center"/>
      <protection hidden="1"/>
    </xf>
    <xf numFmtId="0" fontId="15" fillId="25" borderId="15" xfId="0" applyFont="1" applyFill="1" applyBorder="1" applyAlignment="1" applyProtection="1">
      <alignment horizontal="left" vertical="center"/>
      <protection hidden="1"/>
    </xf>
    <xf numFmtId="0" fontId="15" fillId="21" borderId="15" xfId="0" applyFont="1" applyFill="1" applyBorder="1" applyAlignment="1" applyProtection="1">
      <alignment horizontal="left" vertical="center"/>
      <protection hidden="1"/>
    </xf>
    <xf numFmtId="0" fontId="15" fillId="26" borderId="15" xfId="0" applyFont="1" applyFill="1" applyBorder="1" applyAlignment="1" applyProtection="1">
      <alignment horizontal="left" vertical="center"/>
      <protection hidden="1"/>
    </xf>
    <xf numFmtId="0" fontId="15" fillId="27" borderId="15" xfId="0" applyFont="1" applyFill="1" applyBorder="1" applyAlignment="1" applyProtection="1">
      <alignment horizontal="left" vertical="center"/>
      <protection hidden="1"/>
    </xf>
    <xf numFmtId="0" fontId="15" fillId="28" borderId="15" xfId="0" applyFont="1" applyFill="1" applyBorder="1" applyAlignment="1" applyProtection="1">
      <alignment horizontal="left" vertical="center"/>
      <protection hidden="1"/>
    </xf>
    <xf numFmtId="0" fontId="16" fillId="14" borderId="15" xfId="0" applyFont="1" applyFill="1" applyBorder="1" applyAlignment="1" applyProtection="1">
      <alignment horizontal="left" vertical="center"/>
      <protection hidden="1"/>
    </xf>
    <xf numFmtId="0" fontId="0" fillId="6" borderId="0" xfId="0" applyFill="1" applyAlignment="1" applyProtection="1">
      <alignment horizontal="center"/>
      <protection hidden="1"/>
    </xf>
    <xf numFmtId="0" fontId="0" fillId="6" borderId="0" xfId="0" applyFill="1" applyBorder="1" applyAlignment="1" applyProtection="1">
      <alignment horizontal="center"/>
      <protection hidden="1"/>
    </xf>
    <xf numFmtId="0" fontId="1" fillId="22" borderId="0" xfId="0" applyFont="1" applyFill="1" applyBorder="1" applyAlignment="1" applyProtection="1">
      <alignment horizontal="center"/>
      <protection hidden="1"/>
    </xf>
    <xf numFmtId="0" fontId="1" fillId="22" borderId="0" xfId="0" applyFont="1" applyFill="1" applyBorder="1" applyAlignment="1" applyProtection="1">
      <alignment horizontal="left"/>
      <protection hidden="1"/>
    </xf>
    <xf numFmtId="0" fontId="1" fillId="6" borderId="0" xfId="0" applyFont="1" applyFill="1" applyAlignment="1" applyProtection="1">
      <alignment horizontal="center"/>
      <protection hidden="1"/>
    </xf>
    <xf numFmtId="0" fontId="0" fillId="23" borderId="0" xfId="0" applyFill="1" applyProtection="1">
      <protection hidden="1"/>
    </xf>
    <xf numFmtId="0" fontId="0" fillId="6" borderId="0" xfId="0" applyFill="1" applyAlignment="1" applyProtection="1">
      <alignment horizontal="left"/>
      <protection hidden="1"/>
    </xf>
    <xf numFmtId="0" fontId="0" fillId="6" borderId="16" xfId="0" applyFill="1" applyBorder="1" applyAlignment="1" applyProtection="1">
      <alignment horizontal="left"/>
      <protection hidden="1"/>
    </xf>
    <xf numFmtId="0" fontId="0" fillId="5" borderId="17" xfId="0" applyFill="1" applyBorder="1" applyProtection="1">
      <protection hidden="1"/>
    </xf>
    <xf numFmtId="0" fontId="0" fillId="29" borderId="17" xfId="0" applyFill="1" applyBorder="1" applyProtection="1">
      <protection hidden="1"/>
    </xf>
    <xf numFmtId="0" fontId="0" fillId="7" borderId="17" xfId="0" applyFill="1" applyBorder="1" applyProtection="1">
      <protection hidden="1"/>
    </xf>
    <xf numFmtId="0" fontId="0" fillId="23" borderId="17" xfId="0" applyFill="1" applyBorder="1" applyProtection="1">
      <protection hidden="1"/>
    </xf>
    <xf numFmtId="0" fontId="0" fillId="16" borderId="17" xfId="0" applyFill="1" applyBorder="1" applyProtection="1">
      <protection hidden="1"/>
    </xf>
    <xf numFmtId="0" fontId="0" fillId="11" borderId="18" xfId="0" applyFill="1" applyBorder="1" applyProtection="1">
      <protection hidden="1"/>
    </xf>
    <xf numFmtId="0" fontId="0" fillId="6" borderId="19" xfId="0" applyFill="1" applyBorder="1" applyAlignment="1" applyProtection="1">
      <alignment horizontal="left"/>
      <protection hidden="1"/>
    </xf>
    <xf numFmtId="0" fontId="0" fillId="5" borderId="0" xfId="0" applyFill="1" applyBorder="1" applyProtection="1">
      <protection hidden="1"/>
    </xf>
    <xf numFmtId="0" fontId="0" fillId="29" borderId="0" xfId="0" applyFill="1" applyBorder="1" applyProtection="1">
      <protection hidden="1"/>
    </xf>
    <xf numFmtId="0" fontId="0" fillId="7" borderId="0" xfId="0" applyFill="1" applyBorder="1" applyProtection="1">
      <protection hidden="1"/>
    </xf>
    <xf numFmtId="0" fontId="0" fillId="23" borderId="0" xfId="0" applyFill="1" applyBorder="1" applyProtection="1">
      <protection hidden="1"/>
    </xf>
    <xf numFmtId="0" fontId="0" fillId="16" borderId="0" xfId="0" applyFill="1" applyBorder="1" applyProtection="1">
      <protection hidden="1"/>
    </xf>
    <xf numFmtId="0" fontId="0" fillId="11" borderId="20" xfId="0" applyFill="1" applyBorder="1" applyProtection="1">
      <protection hidden="1"/>
    </xf>
    <xf numFmtId="0" fontId="0" fillId="0" borderId="0" xfId="0" applyFill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0" fillId="6" borderId="21" xfId="0" applyFill="1" applyBorder="1" applyAlignment="1" applyProtection="1">
      <alignment horizontal="left"/>
      <protection hidden="1"/>
    </xf>
    <xf numFmtId="0" fontId="0" fillId="5" borderId="22" xfId="0" applyFill="1" applyBorder="1" applyProtection="1">
      <protection hidden="1"/>
    </xf>
    <xf numFmtId="0" fontId="0" fillId="29" borderId="22" xfId="0" applyFill="1" applyBorder="1" applyProtection="1">
      <protection hidden="1"/>
    </xf>
    <xf numFmtId="0" fontId="0" fillId="7" borderId="22" xfId="0" applyFill="1" applyBorder="1" applyProtection="1">
      <protection hidden="1"/>
    </xf>
    <xf numFmtId="0" fontId="0" fillId="23" borderId="22" xfId="0" applyFill="1" applyBorder="1" applyProtection="1">
      <protection hidden="1"/>
    </xf>
    <xf numFmtId="0" fontId="0" fillId="16" borderId="22" xfId="0" applyFill="1" applyBorder="1" applyProtection="1">
      <protection hidden="1"/>
    </xf>
    <xf numFmtId="0" fontId="0" fillId="11" borderId="23" xfId="0" applyFill="1" applyBorder="1" applyProtection="1">
      <protection hidden="1"/>
    </xf>
    <xf numFmtId="0" fontId="0" fillId="0" borderId="0" xfId="0" applyFill="1" applyAlignment="1" applyProtection="1">
      <alignment horizontal="left"/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1" fillId="0" borderId="0" xfId="0" applyFont="1" applyFill="1" applyBorder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left"/>
      <protection hidden="1"/>
    </xf>
    <xf numFmtId="0" fontId="4" fillId="9" borderId="0" xfId="0" applyFont="1" applyFill="1" applyBorder="1" applyAlignment="1" applyProtection="1">
      <alignment horizontal="center"/>
    </xf>
    <xf numFmtId="166" fontId="17" fillId="0" borderId="0" xfId="0" applyNumberFormat="1" applyFont="1" applyFill="1" applyBorder="1" applyAlignment="1" applyProtection="1">
      <alignment horizontal="center" vertical="center"/>
      <protection hidden="1"/>
    </xf>
    <xf numFmtId="0" fontId="0" fillId="6" borderId="0" xfId="0" applyNumberFormat="1" applyFill="1" applyAlignment="1" applyProtection="1">
      <alignment horizontal="center"/>
      <protection hidden="1"/>
    </xf>
    <xf numFmtId="0" fontId="0" fillId="6" borderId="0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32" borderId="0" xfId="0" applyFill="1"/>
    <xf numFmtId="0" fontId="11" fillId="9" borderId="0" xfId="0" applyFont="1" applyFill="1" applyBorder="1" applyAlignment="1" applyProtection="1">
      <alignment horizontal="center"/>
    </xf>
    <xf numFmtId="0" fontId="4" fillId="14" borderId="0" xfId="0" applyFont="1" applyFill="1" applyAlignment="1" applyProtection="1">
      <alignment horizontal="center"/>
      <protection hidden="1"/>
    </xf>
    <xf numFmtId="0" fontId="4" fillId="14" borderId="0" xfId="0" quotePrefix="1" applyFont="1" applyFill="1" applyAlignment="1" applyProtection="1">
      <alignment horizontal="center"/>
      <protection hidden="1"/>
    </xf>
    <xf numFmtId="0" fontId="1" fillId="31" borderId="0" xfId="0" applyFont="1" applyFill="1" applyBorder="1" applyAlignment="1" applyProtection="1">
      <alignment horizontal="center"/>
    </xf>
    <xf numFmtId="0" fontId="4" fillId="3" borderId="2" xfId="0" applyFont="1" applyFill="1" applyBorder="1" applyAlignment="1" applyProtection="1">
      <alignment horizontal="center" vertical="center"/>
      <protection hidden="1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17" fillId="0" borderId="0" xfId="0" applyFont="1" applyFill="1" applyAlignment="1">
      <alignment horizontal="center" vertical="center"/>
    </xf>
    <xf numFmtId="1" fontId="17" fillId="0" borderId="0" xfId="0" applyNumberFormat="1" applyFont="1" applyFill="1" applyAlignment="1" applyProtection="1">
      <alignment horizontal="center" vertical="center"/>
      <protection locked="0"/>
    </xf>
    <xf numFmtId="1" fontId="17" fillId="0" borderId="0" xfId="0" applyNumberFormat="1" applyFont="1" applyFill="1" applyAlignment="1">
      <alignment horizontal="center" vertical="center"/>
    </xf>
    <xf numFmtId="167" fontId="17" fillId="0" borderId="0" xfId="0" applyNumberFormat="1" applyFont="1" applyFill="1" applyAlignment="1">
      <alignment horizontal="center" vertical="center"/>
    </xf>
    <xf numFmtId="0" fontId="23" fillId="0" borderId="0" xfId="0" applyFont="1" applyFill="1"/>
    <xf numFmtId="0" fontId="24" fillId="0" borderId="0" xfId="0" applyFont="1" applyFill="1" applyAlignment="1">
      <alignment horizontal="center" vertical="center"/>
    </xf>
    <xf numFmtId="0" fontId="23" fillId="0" borderId="0" xfId="0" applyFont="1" applyFill="1" applyBorder="1"/>
    <xf numFmtId="0" fontId="24" fillId="0" borderId="0" xfId="0" applyFont="1" applyFill="1"/>
    <xf numFmtId="0" fontId="18" fillId="0" borderId="6" xfId="0" applyNumberFormat="1" applyFont="1" applyBorder="1" applyAlignment="1" applyProtection="1">
      <alignment horizontal="center" vertical="center"/>
      <protection hidden="1"/>
    </xf>
    <xf numFmtId="165" fontId="25" fillId="0" borderId="6" xfId="0" applyNumberFormat="1" applyFont="1" applyFill="1" applyBorder="1" applyAlignment="1" applyProtection="1">
      <alignment horizontal="center" vertical="center"/>
      <protection locked="0"/>
    </xf>
    <xf numFmtId="0" fontId="21" fillId="0" borderId="6" xfId="0" applyNumberFormat="1" applyFont="1" applyBorder="1" applyAlignment="1" applyProtection="1">
      <alignment horizontal="center" vertical="center"/>
      <protection hidden="1"/>
    </xf>
    <xf numFmtId="165" fontId="25" fillId="0" borderId="6" xfId="0" applyNumberFormat="1" applyFont="1" applyBorder="1" applyAlignment="1" applyProtection="1">
      <alignment horizontal="center" vertical="center"/>
      <protection locked="0"/>
    </xf>
    <xf numFmtId="165" fontId="25" fillId="0" borderId="7" xfId="0" applyNumberFormat="1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8" fillId="0" borderId="0" xfId="0" applyFont="1" applyFill="1" applyAlignment="1">
      <alignment horizontal="center" vertical="center"/>
    </xf>
    <xf numFmtId="0" fontId="18" fillId="0" borderId="0" xfId="0" applyNumberFormat="1" applyFont="1" applyBorder="1" applyAlignment="1" applyProtection="1">
      <alignment horizontal="center" vertical="center"/>
      <protection hidden="1"/>
    </xf>
    <xf numFmtId="165" fontId="25" fillId="0" borderId="0" xfId="0" applyNumberFormat="1" applyFont="1" applyBorder="1" applyAlignment="1" applyProtection="1">
      <alignment horizontal="center" vertical="center"/>
      <protection locked="0"/>
    </xf>
    <xf numFmtId="0" fontId="21" fillId="0" borderId="0" xfId="0" applyNumberFormat="1" applyFont="1" applyBorder="1" applyAlignment="1" applyProtection="1">
      <alignment horizontal="center" vertical="center"/>
      <protection hidden="1"/>
    </xf>
    <xf numFmtId="165" fontId="25" fillId="0" borderId="9" xfId="0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Fill="1" applyBorder="1" applyAlignment="1" applyProtection="1">
      <alignment horizontal="center" vertical="center"/>
    </xf>
    <xf numFmtId="0" fontId="25" fillId="0" borderId="0" xfId="0" applyFont="1" applyFill="1" applyBorder="1" applyAlignment="1" applyProtection="1">
      <alignment horizontal="center" vertical="center"/>
      <protection locked="0"/>
    </xf>
    <xf numFmtId="0" fontId="17" fillId="0" borderId="0" xfId="0" applyFont="1" applyFill="1" applyBorder="1" applyAlignment="1" applyProtection="1">
      <alignment horizontal="center" vertical="center"/>
    </xf>
    <xf numFmtId="0" fontId="18" fillId="0" borderId="8" xfId="0" applyNumberFormat="1" applyFont="1" applyBorder="1" applyAlignment="1" applyProtection="1">
      <alignment horizontal="center" vertical="center"/>
      <protection hidden="1"/>
    </xf>
    <xf numFmtId="0" fontId="24" fillId="0" borderId="0" xfId="0" applyFont="1" applyFill="1" applyBorder="1" applyAlignment="1" applyProtection="1">
      <alignment vertical="center"/>
      <protection locked="0"/>
    </xf>
    <xf numFmtId="0" fontId="21" fillId="0" borderId="0" xfId="0" applyFont="1" applyFill="1" applyProtection="1">
      <protection hidden="1"/>
    </xf>
    <xf numFmtId="0" fontId="21" fillId="0" borderId="0" xfId="0" applyFont="1" applyFill="1" applyBorder="1"/>
    <xf numFmtId="0" fontId="21" fillId="0" borderId="0" xfId="0" applyNumberFormat="1" applyFont="1" applyFill="1" applyBorder="1" applyAlignment="1" applyProtection="1">
      <alignment horizontal="center" vertical="center"/>
      <protection hidden="1"/>
    </xf>
    <xf numFmtId="1" fontId="24" fillId="0" borderId="0" xfId="0" applyNumberFormat="1" applyFont="1" applyFill="1" applyBorder="1" applyAlignment="1" applyProtection="1">
      <alignment horizontal="left" vertical="center"/>
      <protection locked="0"/>
    </xf>
    <xf numFmtId="1" fontId="24" fillId="0" borderId="0" xfId="0" applyNumberFormat="1" applyFont="1" applyFill="1" applyBorder="1" applyAlignment="1" applyProtection="1">
      <alignment horizontal="center" vertical="center"/>
      <protection locked="0"/>
    </xf>
    <xf numFmtId="1" fontId="24" fillId="0" borderId="0" xfId="0" applyNumberFormat="1" applyFont="1" applyFill="1" applyBorder="1" applyAlignment="1">
      <alignment horizontal="left" vertical="center"/>
    </xf>
    <xf numFmtId="167" fontId="24" fillId="0" borderId="0" xfId="0" applyNumberFormat="1" applyFont="1" applyFill="1" applyBorder="1" applyAlignment="1">
      <alignment horizontal="center" vertical="center"/>
    </xf>
    <xf numFmtId="1" fontId="24" fillId="0" borderId="0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 wrapText="1"/>
    </xf>
    <xf numFmtId="2" fontId="17" fillId="0" borderId="0" xfId="0" applyNumberFormat="1" applyFont="1" applyFill="1" applyBorder="1" applyAlignment="1" applyProtection="1">
      <alignment horizontal="center" vertical="center"/>
      <protection hidden="1"/>
    </xf>
    <xf numFmtId="1" fontId="17" fillId="0" borderId="0" xfId="0" applyNumberFormat="1" applyFont="1" applyFill="1" applyBorder="1" applyAlignment="1" applyProtection="1">
      <alignment vertical="center"/>
      <protection hidden="1"/>
    </xf>
    <xf numFmtId="0" fontId="25" fillId="0" borderId="0" xfId="0" applyFont="1" applyFill="1" applyAlignment="1">
      <alignment horizontal="center"/>
    </xf>
    <xf numFmtId="0" fontId="21" fillId="0" borderId="0" xfId="0" applyFont="1" applyFill="1" applyAlignment="1" applyProtection="1">
      <alignment horizontal="center" vertical="center"/>
      <protection locked="0"/>
    </xf>
    <xf numFmtId="0" fontId="25" fillId="0" borderId="0" xfId="0" applyFont="1" applyFill="1" applyAlignment="1">
      <alignment horizontal="center" vertical="center"/>
    </xf>
    <xf numFmtId="166" fontId="24" fillId="0" borderId="0" xfId="0" applyNumberFormat="1" applyFont="1" applyFill="1" applyBorder="1" applyAlignment="1" applyProtection="1">
      <alignment horizontal="center" vertical="center"/>
    </xf>
    <xf numFmtId="165" fontId="25" fillId="0" borderId="0" xfId="0" applyNumberFormat="1" applyFont="1" applyFill="1" applyBorder="1" applyAlignment="1" applyProtection="1">
      <alignment horizontal="center" vertical="center"/>
      <protection locked="0"/>
    </xf>
    <xf numFmtId="0" fontId="29" fillId="0" borderId="0" xfId="0" applyFont="1" applyFill="1" applyBorder="1" applyAlignment="1" applyProtection="1">
      <alignment horizontal="center" vertical="center"/>
    </xf>
    <xf numFmtId="0" fontId="18" fillId="0" borderId="10" xfId="0" applyNumberFormat="1" applyFont="1" applyBorder="1" applyAlignment="1" applyProtection="1">
      <alignment horizontal="center" vertical="center"/>
      <protection hidden="1"/>
    </xf>
    <xf numFmtId="165" fontId="25" fillId="0" borderId="11" xfId="0" applyNumberFormat="1" applyFont="1" applyFill="1" applyBorder="1" applyAlignment="1" applyProtection="1">
      <alignment horizontal="center" vertical="center"/>
      <protection locked="0"/>
    </xf>
    <xf numFmtId="0" fontId="21" fillId="0" borderId="11" xfId="0" applyNumberFormat="1" applyFont="1" applyBorder="1" applyAlignment="1" applyProtection="1">
      <alignment horizontal="center" vertical="center"/>
      <protection hidden="1"/>
    </xf>
    <xf numFmtId="165" fontId="25" fillId="0" borderId="11" xfId="0" applyNumberFormat="1" applyFont="1" applyBorder="1" applyAlignment="1" applyProtection="1">
      <alignment horizontal="center" vertical="center"/>
      <protection locked="0"/>
    </xf>
    <xf numFmtId="165" fontId="25" fillId="0" borderId="12" xfId="0" applyNumberFormat="1" applyFont="1" applyFill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 vertical="center"/>
    </xf>
    <xf numFmtId="1" fontId="31" fillId="0" borderId="0" xfId="0" applyNumberFormat="1" applyFont="1" applyAlignment="1" applyProtection="1">
      <alignment horizontal="center" vertical="center"/>
      <protection locked="0"/>
    </xf>
    <xf numFmtId="1" fontId="31" fillId="0" borderId="0" xfId="0" applyNumberFormat="1" applyFont="1" applyAlignment="1">
      <alignment horizontal="center" vertical="center"/>
    </xf>
    <xf numFmtId="167" fontId="31" fillId="0" borderId="0" xfId="0" applyNumberFormat="1" applyFont="1" applyAlignment="1">
      <alignment horizontal="center" vertical="center"/>
    </xf>
    <xf numFmtId="1" fontId="31" fillId="0" borderId="0" xfId="0" applyNumberFormat="1" applyFont="1" applyFill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Fill="1" applyBorder="1" applyAlignment="1">
      <alignment horizontal="left" vertical="center"/>
    </xf>
    <xf numFmtId="0" fontId="18" fillId="0" borderId="0" xfId="0" applyFont="1" applyFill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0" xfId="0" applyFont="1" applyFill="1"/>
    <xf numFmtId="0" fontId="18" fillId="0" borderId="0" xfId="0" applyFont="1"/>
    <xf numFmtId="0" fontId="33" fillId="4" borderId="1" xfId="0" applyFont="1" applyFill="1" applyBorder="1" applyAlignment="1" applyProtection="1">
      <alignment horizontal="center" vertical="center" shrinkToFit="1"/>
      <protection locked="0"/>
    </xf>
    <xf numFmtId="0" fontId="34" fillId="0" borderId="1" xfId="0" applyFont="1" applyFill="1" applyBorder="1" applyAlignment="1" applyProtection="1">
      <alignment horizontal="center" vertical="center"/>
      <protection locked="0"/>
    </xf>
    <xf numFmtId="0" fontId="34" fillId="4" borderId="1" xfId="0" applyFont="1" applyFill="1" applyBorder="1" applyAlignment="1" applyProtection="1">
      <alignment horizontal="center" vertical="center" shrinkToFit="1"/>
      <protection locked="0"/>
    </xf>
    <xf numFmtId="0" fontId="34" fillId="2" borderId="1" xfId="1" applyNumberFormat="1" applyFont="1" applyFill="1" applyBorder="1" applyAlignment="1" applyProtection="1">
      <alignment horizontal="center" vertical="center"/>
      <protection locked="0"/>
    </xf>
    <xf numFmtId="164" fontId="34" fillId="4" borderId="13" xfId="1" applyNumberFormat="1" applyFont="1" applyFill="1" applyBorder="1" applyAlignment="1" applyProtection="1">
      <alignment horizontal="center" vertical="center"/>
      <protection locked="0"/>
    </xf>
    <xf numFmtId="167" fontId="34" fillId="2" borderId="14" xfId="1" applyNumberFormat="1" applyFont="1" applyFill="1" applyBorder="1" applyAlignment="1" applyProtection="1">
      <alignment horizontal="center" vertical="center"/>
      <protection locked="0"/>
    </xf>
    <xf numFmtId="167" fontId="34" fillId="2" borderId="1" xfId="1" applyNumberFormat="1" applyFont="1" applyFill="1" applyBorder="1" applyAlignment="1" applyProtection="1">
      <alignment horizontal="center" vertical="center"/>
      <protection locked="0"/>
    </xf>
    <xf numFmtId="1" fontId="34" fillId="0" borderId="1" xfId="1" applyNumberFormat="1" applyFont="1" applyFill="1" applyBorder="1" applyAlignment="1" applyProtection="1">
      <alignment horizontal="center" vertical="center"/>
      <protection locked="0"/>
    </xf>
    <xf numFmtId="165" fontId="35" fillId="15" borderId="1" xfId="0" applyNumberFormat="1" applyFont="1" applyFill="1" applyBorder="1" applyAlignment="1" applyProtection="1">
      <alignment horizontal="center" vertical="center"/>
      <protection locked="0"/>
    </xf>
    <xf numFmtId="165" fontId="35" fillId="10" borderId="1" xfId="0" applyNumberFormat="1" applyFont="1" applyFill="1" applyBorder="1" applyAlignment="1" applyProtection="1">
      <alignment horizontal="center" vertical="center"/>
      <protection locked="0"/>
    </xf>
    <xf numFmtId="165" fontId="35" fillId="12" borderId="1" xfId="0" applyNumberFormat="1" applyFont="1" applyFill="1" applyBorder="1" applyAlignment="1" applyProtection="1">
      <alignment horizontal="center" vertical="center"/>
      <protection locked="0"/>
    </xf>
    <xf numFmtId="165" fontId="35" fillId="4" borderId="1" xfId="0" applyNumberFormat="1" applyFont="1" applyFill="1" applyBorder="1" applyAlignment="1" applyProtection="1">
      <alignment horizontal="center" vertical="center"/>
      <protection locked="0"/>
    </xf>
    <xf numFmtId="165" fontId="34" fillId="11" borderId="1" xfId="0" applyNumberFormat="1" applyFont="1" applyFill="1" applyBorder="1" applyAlignment="1" applyProtection="1">
      <alignment horizontal="center" vertical="center"/>
      <protection locked="0"/>
    </xf>
    <xf numFmtId="165" fontId="35" fillId="11" borderId="1" xfId="0" applyNumberFormat="1" applyFont="1" applyFill="1" applyBorder="1" applyAlignment="1" applyProtection="1">
      <alignment horizontal="center" vertical="center"/>
      <protection locked="0"/>
    </xf>
    <xf numFmtId="165" fontId="35" fillId="30" borderId="1" xfId="0" applyNumberFormat="1" applyFont="1" applyFill="1" applyBorder="1" applyAlignment="1" applyProtection="1">
      <alignment horizontal="center" vertical="center"/>
      <protection locked="0"/>
    </xf>
    <xf numFmtId="165" fontId="35" fillId="10" borderId="1" xfId="0" applyNumberFormat="1" applyFont="1" applyFill="1" applyBorder="1" applyAlignment="1" applyProtection="1">
      <alignment horizontal="center" vertical="center"/>
      <protection hidden="1"/>
    </xf>
    <xf numFmtId="165" fontId="35" fillId="12" borderId="1" xfId="0" applyNumberFormat="1" applyFont="1" applyFill="1" applyBorder="1" applyAlignment="1" applyProtection="1">
      <alignment horizontal="center" vertical="center"/>
      <protection hidden="1"/>
    </xf>
    <xf numFmtId="165" fontId="34" fillId="11" borderId="1" xfId="0" applyNumberFormat="1" applyFont="1" applyFill="1" applyBorder="1" applyAlignment="1" applyProtection="1">
      <alignment horizontal="center" vertical="center"/>
      <protection hidden="1"/>
    </xf>
    <xf numFmtId="165" fontId="35" fillId="15" borderId="1" xfId="0" applyNumberFormat="1" applyFont="1" applyFill="1" applyBorder="1" applyAlignment="1" applyProtection="1">
      <alignment horizontal="center" vertical="center"/>
      <protection hidden="1"/>
    </xf>
    <xf numFmtId="165" fontId="34" fillId="16" borderId="1" xfId="0" applyNumberFormat="1" applyFont="1" applyFill="1" applyBorder="1" applyAlignment="1" applyProtection="1">
      <alignment horizontal="center" vertical="center"/>
      <protection hidden="1"/>
    </xf>
    <xf numFmtId="165" fontId="34" fillId="23" borderId="1" xfId="0" applyNumberFormat="1" applyFont="1" applyFill="1" applyBorder="1" applyAlignment="1" applyProtection="1">
      <alignment horizontal="center" vertical="center"/>
      <protection hidden="1"/>
    </xf>
    <xf numFmtId="0" fontId="34" fillId="4" borderId="1" xfId="0" applyFont="1" applyFill="1" applyBorder="1" applyAlignment="1" applyProtection="1">
      <alignment horizontal="center" vertical="center"/>
      <protection locked="0"/>
    </xf>
    <xf numFmtId="0" fontId="12" fillId="3" borderId="1" xfId="0" applyFont="1" applyFill="1" applyBorder="1" applyAlignment="1" applyProtection="1">
      <alignment horizontal="center" vertical="center" wrapText="1"/>
      <protection hidden="1"/>
    </xf>
    <xf numFmtId="164" fontId="12" fillId="3" borderId="1" xfId="1" applyNumberFormat="1" applyFont="1" applyFill="1" applyBorder="1" applyAlignment="1" applyProtection="1">
      <alignment horizontal="center" vertical="center" wrapText="1"/>
      <protection hidden="1"/>
    </xf>
    <xf numFmtId="164" fontId="12" fillId="3" borderId="13" xfId="1" applyNumberFormat="1" applyFont="1" applyFill="1" applyBorder="1" applyAlignment="1" applyProtection="1">
      <alignment horizontal="center" vertical="center" wrapText="1"/>
      <protection hidden="1"/>
    </xf>
    <xf numFmtId="164" fontId="12" fillId="3" borderId="14" xfId="1" applyNumberFormat="1" applyFont="1" applyFill="1" applyBorder="1" applyAlignment="1" applyProtection="1">
      <alignment horizontal="center" vertical="center" wrapText="1"/>
      <protection hidden="1"/>
    </xf>
    <xf numFmtId="20" fontId="12" fillId="3" borderId="1" xfId="0" applyNumberFormat="1" applyFont="1" applyFill="1" applyBorder="1" applyAlignment="1" applyProtection="1">
      <alignment horizontal="center" vertical="center"/>
      <protection hidden="1"/>
    </xf>
    <xf numFmtId="20" fontId="12" fillId="3" borderId="1" xfId="0" applyNumberFormat="1" applyFont="1" applyFill="1" applyBorder="1" applyAlignment="1" applyProtection="1">
      <alignment horizontal="center" vertical="center" wrapText="1"/>
      <protection hidden="1"/>
    </xf>
    <xf numFmtId="20" fontId="12" fillId="0" borderId="8" xfId="0" applyNumberFormat="1" applyFont="1" applyFill="1" applyBorder="1" applyAlignment="1" applyProtection="1">
      <alignment horizontal="center" vertical="center" wrapText="1"/>
    </xf>
    <xf numFmtId="20" fontId="12" fillId="0" borderId="0" xfId="0" applyNumberFormat="1" applyFont="1" applyFill="1" applyBorder="1" applyAlignment="1" applyProtection="1">
      <alignment horizontal="center" vertical="center" wrapText="1"/>
    </xf>
    <xf numFmtId="20" fontId="12" fillId="3" borderId="2" xfId="0" applyNumberFormat="1" applyFont="1" applyFill="1" applyBorder="1" applyAlignment="1" applyProtection="1">
      <alignment horizontal="center" vertical="center" wrapText="1"/>
    </xf>
    <xf numFmtId="0" fontId="12" fillId="0" borderId="0" xfId="0" applyFont="1" applyFill="1" applyBorder="1" applyAlignment="1" applyProtection="1">
      <alignment horizontal="center" vertical="center"/>
    </xf>
    <xf numFmtId="0" fontId="32" fillId="0" borderId="0" xfId="0" applyFont="1" applyAlignment="1">
      <alignment vertical="center"/>
    </xf>
    <xf numFmtId="0" fontId="32" fillId="0" borderId="0" xfId="0" applyFont="1" applyAlignment="1">
      <alignment horizontal="center" vertical="center" wrapText="1"/>
    </xf>
    <xf numFmtId="1" fontId="34" fillId="4" borderId="1" xfId="1" applyNumberFormat="1" applyFont="1" applyFill="1" applyBorder="1" applyAlignment="1" applyProtection="1">
      <alignment horizontal="center" vertical="center"/>
      <protection hidden="1"/>
    </xf>
    <xf numFmtId="0" fontId="36" fillId="0" borderId="0" xfId="0" applyFont="1" applyFill="1" applyBorder="1" applyAlignment="1" applyProtection="1">
      <alignment horizontal="center" vertical="center"/>
      <protection hidden="1"/>
    </xf>
    <xf numFmtId="0" fontId="35" fillId="0" borderId="0" xfId="0" applyFont="1" applyFill="1" applyBorder="1" applyAlignment="1">
      <alignment horizontal="center" vertical="center"/>
    </xf>
    <xf numFmtId="0" fontId="38" fillId="0" borderId="0" xfId="0" applyFont="1" applyFill="1" applyBorder="1" applyAlignment="1" applyProtection="1">
      <alignment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166" fontId="39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/>
      <protection hidden="1"/>
    </xf>
    <xf numFmtId="0" fontId="35" fillId="0" borderId="0" xfId="0" applyFont="1" applyFill="1" applyBorder="1" applyAlignment="1" applyProtection="1">
      <alignment horizontal="center" vertical="center" wrapText="1"/>
      <protection locked="0"/>
    </xf>
    <xf numFmtId="168" fontId="35" fillId="0" borderId="0" xfId="0" applyNumberFormat="1" applyFont="1" applyFill="1" applyBorder="1" applyAlignment="1">
      <alignment horizontal="center" vertical="center"/>
    </xf>
    <xf numFmtId="0" fontId="35" fillId="0" borderId="0" xfId="0" applyFont="1" applyFill="1" applyBorder="1" applyAlignment="1" applyProtection="1">
      <alignment horizontal="center" vertical="center" wrapText="1"/>
    </xf>
    <xf numFmtId="167" fontId="35" fillId="0" borderId="0" xfId="1" applyNumberFormat="1" applyFont="1" applyFill="1" applyBorder="1" applyAlignment="1">
      <alignment horizontal="center" vertical="center"/>
    </xf>
    <xf numFmtId="20" fontId="9" fillId="3" borderId="1" xfId="0" applyNumberFormat="1" applyFont="1" applyFill="1" applyBorder="1" applyAlignment="1" applyProtection="1">
      <alignment horizontal="center" vertical="center" wrapText="1"/>
      <protection hidden="1"/>
    </xf>
    <xf numFmtId="165" fontId="25" fillId="0" borderId="11" xfId="0" applyNumberFormat="1" applyFont="1" applyFill="1" applyBorder="1" applyAlignment="1" applyProtection="1">
      <alignment horizontal="center" vertical="center"/>
      <protection hidden="1"/>
    </xf>
    <xf numFmtId="0" fontId="24" fillId="0" borderId="0" xfId="0" applyFont="1" applyFill="1" applyBorder="1" applyAlignment="1" applyProtection="1">
      <alignment horizontal="center" vertical="center"/>
      <protection locked="0"/>
    </xf>
    <xf numFmtId="9" fontId="17" fillId="0" borderId="0" xfId="3" applyFont="1" applyFill="1" applyBorder="1" applyAlignment="1" applyProtection="1">
      <alignment horizontal="center" vertical="center"/>
      <protection hidden="1"/>
    </xf>
    <xf numFmtId="0" fontId="12" fillId="3" borderId="3" xfId="0" applyFont="1" applyFill="1" applyBorder="1" applyAlignment="1" applyProtection="1">
      <alignment horizontal="center" vertical="center" wrapText="1"/>
      <protection hidden="1"/>
    </xf>
    <xf numFmtId="0" fontId="24" fillId="0" borderId="0" xfId="0" applyFont="1" applyFill="1" applyBorder="1" applyAlignment="1" applyProtection="1">
      <protection locked="0"/>
    </xf>
    <xf numFmtId="0" fontId="24" fillId="0" borderId="0" xfId="0" applyFont="1" applyFill="1" applyBorder="1"/>
    <xf numFmtId="164" fontId="22" fillId="3" borderId="2" xfId="1" applyNumberFormat="1" applyFont="1" applyFill="1" applyBorder="1" applyAlignment="1" applyProtection="1">
      <alignment horizontal="center" vertical="center" wrapText="1"/>
      <protection locked="0" hidden="1"/>
    </xf>
    <xf numFmtId="1" fontId="34" fillId="4" borderId="2" xfId="1" applyNumberFormat="1" applyFont="1" applyFill="1" applyBorder="1" applyAlignment="1" applyProtection="1">
      <alignment horizontal="center" vertical="center"/>
      <protection hidden="1"/>
    </xf>
    <xf numFmtId="0" fontId="13" fillId="3" borderId="2" xfId="0" applyNumberFormat="1" applyFont="1" applyFill="1" applyBorder="1" applyAlignment="1" applyProtection="1">
      <alignment horizontal="center" vertical="center" wrapText="1"/>
      <protection hidden="1"/>
    </xf>
    <xf numFmtId="164" fontId="13" fillId="3" borderId="2" xfId="1" applyNumberFormat="1" applyFont="1" applyFill="1" applyBorder="1" applyAlignment="1" applyProtection="1">
      <alignment horizontal="center" vertical="center" wrapText="1"/>
      <protection hidden="1"/>
    </xf>
    <xf numFmtId="166" fontId="40" fillId="4" borderId="2" xfId="0" applyNumberFormat="1" applyFont="1" applyFill="1" applyBorder="1" applyAlignment="1" applyProtection="1">
      <alignment horizontal="center" vertical="center"/>
      <protection hidden="1"/>
    </xf>
    <xf numFmtId="9" fontId="40" fillId="4" borderId="2" xfId="3" applyFont="1" applyFill="1" applyBorder="1" applyAlignment="1" applyProtection="1">
      <alignment horizontal="center" vertical="center"/>
      <protection hidden="1"/>
    </xf>
    <xf numFmtId="0" fontId="14" fillId="4" borderId="2" xfId="0" applyFont="1" applyFill="1" applyBorder="1" applyAlignment="1" applyProtection="1">
      <alignment horizontal="center" vertical="center"/>
      <protection hidden="1"/>
    </xf>
    <xf numFmtId="0" fontId="34" fillId="0" borderId="13" xfId="0" applyFont="1" applyFill="1" applyBorder="1" applyAlignment="1" applyProtection="1">
      <alignment horizontal="center" vertical="center"/>
      <protection locked="0"/>
    </xf>
    <xf numFmtId="0" fontId="37" fillId="6" borderId="13" xfId="0" applyFont="1" applyFill="1" applyBorder="1" applyAlignment="1" applyProtection="1">
      <alignment horizontal="center" vertical="center" wrapText="1"/>
      <protection hidden="1"/>
    </xf>
    <xf numFmtId="0" fontId="37" fillId="6" borderId="14" xfId="0" applyFont="1" applyFill="1" applyBorder="1" applyAlignment="1" applyProtection="1">
      <alignment horizontal="center" vertical="center" wrapText="1"/>
      <protection hidden="1"/>
    </xf>
    <xf numFmtId="0" fontId="4" fillId="33" borderId="0" xfId="0" applyFont="1" applyFill="1" applyAlignment="1" applyProtection="1">
      <alignment horizontal="center"/>
      <protection hidden="1"/>
    </xf>
    <xf numFmtId="0" fontId="5" fillId="5" borderId="4" xfId="0" applyFont="1" applyFill="1" applyBorder="1" applyAlignment="1" applyProtection="1">
      <alignment horizontal="center" vertical="center"/>
    </xf>
    <xf numFmtId="20" fontId="12" fillId="3" borderId="25" xfId="0" applyNumberFormat="1" applyFont="1" applyFill="1" applyBorder="1" applyAlignment="1" applyProtection="1">
      <alignment horizontal="center" vertical="center" wrapText="1"/>
    </xf>
    <xf numFmtId="20" fontId="12" fillId="3" borderId="5" xfId="0" applyNumberFormat="1" applyFont="1" applyFill="1" applyBorder="1" applyAlignment="1" applyProtection="1">
      <alignment horizontal="center" vertical="center" wrapText="1"/>
    </xf>
    <xf numFmtId="0" fontId="0" fillId="0" borderId="2" xfId="0" applyNumberFormat="1" applyFont="1" applyBorder="1" applyAlignment="1">
      <alignment horizontal="center" vertical="center"/>
    </xf>
    <xf numFmtId="9" fontId="1" fillId="0" borderId="2" xfId="3" applyFont="1" applyFill="1" applyBorder="1" applyAlignment="1" applyProtection="1">
      <alignment horizontal="center" vertical="center"/>
    </xf>
    <xf numFmtId="165" fontId="0" fillId="16" borderId="2" xfId="0" applyNumberFormat="1" applyFont="1" applyFill="1" applyBorder="1" applyAlignment="1" applyProtection="1">
      <alignment horizontal="center" vertical="center"/>
      <protection hidden="1"/>
    </xf>
    <xf numFmtId="0" fontId="27" fillId="24" borderId="24" xfId="0" applyFont="1" applyFill="1" applyBorder="1" applyAlignment="1">
      <alignment horizontal="left" vertical="center"/>
    </xf>
    <xf numFmtId="0" fontId="27" fillId="25" borderId="24" xfId="0" applyFont="1" applyFill="1" applyBorder="1" applyAlignment="1">
      <alignment horizontal="left" vertical="center"/>
    </xf>
    <xf numFmtId="0" fontId="27" fillId="21" borderId="24" xfId="0" applyFont="1" applyFill="1" applyBorder="1" applyAlignment="1">
      <alignment horizontal="left" vertical="center"/>
    </xf>
    <xf numFmtId="0" fontId="27" fillId="26" borderId="24" xfId="0" applyFont="1" applyFill="1" applyBorder="1" applyAlignment="1">
      <alignment horizontal="left" vertical="center"/>
    </xf>
    <xf numFmtId="0" fontId="27" fillId="27" borderId="24" xfId="0" applyFont="1" applyFill="1" applyBorder="1" applyAlignment="1">
      <alignment horizontal="left" vertical="center"/>
    </xf>
    <xf numFmtId="0" fontId="27" fillId="28" borderId="24" xfId="0" applyFont="1" applyFill="1" applyBorder="1" applyAlignment="1">
      <alignment horizontal="left" vertical="center"/>
    </xf>
    <xf numFmtId="0" fontId="30" fillId="14" borderId="24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7" fillId="6" borderId="2" xfId="0" applyFont="1" applyFill="1" applyBorder="1" applyAlignment="1" applyProtection="1">
      <alignment horizontal="center" vertical="center"/>
      <protection locked="0"/>
    </xf>
    <xf numFmtId="20" fontId="17" fillId="6" borderId="2" xfId="0" applyNumberFormat="1" applyFont="1" applyFill="1" applyBorder="1" applyAlignment="1" applyProtection="1">
      <alignment horizontal="center" vertical="center"/>
      <protection locked="0"/>
    </xf>
    <xf numFmtId="20" fontId="17" fillId="6" borderId="4" xfId="0" applyNumberFormat="1" applyFont="1" applyFill="1" applyBorder="1" applyAlignment="1" applyProtection="1">
      <alignment horizontal="center" vertical="center"/>
      <protection locked="0"/>
    </xf>
    <xf numFmtId="0" fontId="17" fillId="6" borderId="2" xfId="0" applyFont="1" applyFill="1" applyBorder="1" applyAlignment="1" applyProtection="1">
      <alignment horizontal="center" vertical="center"/>
      <protection hidden="1"/>
    </xf>
    <xf numFmtId="3" fontId="4" fillId="14" borderId="0" xfId="0" applyNumberFormat="1" applyFont="1" applyFill="1" applyAlignment="1" applyProtection="1">
      <alignment horizontal="center"/>
      <protection hidden="1"/>
    </xf>
    <xf numFmtId="0" fontId="1" fillId="31" borderId="0" xfId="0" applyFont="1" applyFill="1" applyBorder="1" applyAlignment="1" applyProtection="1">
      <alignment horizontal="center"/>
      <protection hidden="1"/>
    </xf>
    <xf numFmtId="0" fontId="4" fillId="34" borderId="0" xfId="0" applyFont="1" applyFill="1" applyBorder="1" applyAlignment="1" applyProtection="1">
      <alignment horizontal="center"/>
      <protection hidden="1"/>
    </xf>
    <xf numFmtId="0" fontId="4" fillId="34" borderId="0" xfId="0" applyFont="1" applyFill="1" applyBorder="1" applyAlignment="1" applyProtection="1">
      <alignment horizontal="center"/>
    </xf>
    <xf numFmtId="0" fontId="22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17" fillId="6" borderId="0" xfId="0" applyFont="1" applyFill="1" applyAlignment="1">
      <alignment horizontal="center" vertical="center"/>
    </xf>
    <xf numFmtId="0" fontId="23" fillId="6" borderId="0" xfId="0" applyFont="1" applyFill="1"/>
    <xf numFmtId="0" fontId="41" fillId="0" borderId="0" xfId="0" applyFont="1" applyFill="1" applyAlignment="1">
      <alignment horizontal="right" vertical="center"/>
    </xf>
    <xf numFmtId="0" fontId="37" fillId="0" borderId="0" xfId="0" applyFont="1" applyFill="1" applyAlignment="1">
      <alignment horizontal="left"/>
    </xf>
    <xf numFmtId="0" fontId="17" fillId="0" borderId="0" xfId="0" applyFont="1" applyFill="1" applyAlignment="1">
      <alignment horizontal="center"/>
    </xf>
    <xf numFmtId="0" fontId="24" fillId="6" borderId="11" xfId="0" applyFont="1" applyFill="1" applyBorder="1" applyAlignment="1" applyProtection="1">
      <alignment vertical="center"/>
      <protection hidden="1"/>
    </xf>
    <xf numFmtId="0" fontId="40" fillId="11" borderId="11" xfId="0" applyFont="1" applyFill="1" applyBorder="1" applyAlignment="1" applyProtection="1">
      <protection hidden="1"/>
    </xf>
    <xf numFmtId="0" fontId="40" fillId="12" borderId="11" xfId="0" applyFont="1" applyFill="1" applyBorder="1" applyAlignment="1" applyProtection="1">
      <protection hidden="1"/>
    </xf>
    <xf numFmtId="0" fontId="35" fillId="15" borderId="11" xfId="0" applyFont="1" applyFill="1" applyBorder="1" applyAlignment="1" applyProtection="1">
      <alignment vertical="center"/>
      <protection hidden="1"/>
    </xf>
    <xf numFmtId="0" fontId="35" fillId="11" borderId="11" xfId="0" applyFont="1" applyFill="1" applyBorder="1" applyAlignment="1" applyProtection="1">
      <alignment vertical="center"/>
      <protection hidden="1"/>
    </xf>
    <xf numFmtId="0" fontId="24" fillId="10" borderId="11" xfId="0" applyFont="1" applyFill="1" applyBorder="1" applyAlignment="1" applyProtection="1">
      <alignment horizontal="left"/>
      <protection hidden="1"/>
    </xf>
    <xf numFmtId="0" fontId="24" fillId="10" borderId="11" xfId="0" applyFont="1" applyFill="1" applyBorder="1" applyAlignment="1" applyProtection="1">
      <alignment horizontal="left" vertical="center"/>
      <protection hidden="1"/>
    </xf>
    <xf numFmtId="0" fontId="40" fillId="17" borderId="2" xfId="0" applyFont="1" applyFill="1" applyBorder="1" applyAlignment="1" applyProtection="1">
      <alignment horizontal="center" vertical="center" shrinkToFit="1"/>
      <protection locked="0"/>
    </xf>
    <xf numFmtId="3" fontId="40" fillId="6" borderId="2" xfId="0" applyNumberFormat="1" applyFont="1" applyFill="1" applyBorder="1" applyAlignment="1" applyProtection="1">
      <alignment horizontal="center" vertical="center"/>
      <protection hidden="1"/>
    </xf>
    <xf numFmtId="2" fontId="40" fillId="6" borderId="2" xfId="0" applyNumberFormat="1" applyFont="1" applyFill="1" applyBorder="1" applyAlignment="1" applyProtection="1">
      <alignment horizontal="center" vertical="center"/>
      <protection hidden="1"/>
    </xf>
    <xf numFmtId="1" fontId="40" fillId="35" borderId="26" xfId="0" applyNumberFormat="1" applyFont="1" applyFill="1" applyBorder="1" applyAlignment="1" applyProtection="1">
      <protection hidden="1"/>
    </xf>
    <xf numFmtId="0" fontId="1" fillId="6" borderId="0" xfId="0" applyFont="1" applyFill="1" applyAlignment="1">
      <alignment horizontal="center" vertical="center"/>
    </xf>
    <xf numFmtId="1" fontId="42" fillId="0" borderId="0" xfId="5" applyNumberFormat="1" applyFill="1" applyAlignment="1">
      <alignment horizontal="center" vertical="center"/>
    </xf>
    <xf numFmtId="1" fontId="17" fillId="0" borderId="0" xfId="0" quotePrefix="1" applyNumberFormat="1" applyFont="1" applyFill="1" applyAlignment="1">
      <alignment horizontal="center" vertical="center"/>
    </xf>
    <xf numFmtId="0" fontId="44" fillId="0" borderId="0" xfId="0" applyFont="1"/>
    <xf numFmtId="0" fontId="21" fillId="3" borderId="2" xfId="0" applyFont="1" applyFill="1" applyBorder="1" applyAlignment="1" applyProtection="1">
      <alignment horizontal="center" vertical="center" wrapText="1"/>
      <protection hidden="1"/>
    </xf>
    <xf numFmtId="0" fontId="40" fillId="17" borderId="2" xfId="0" applyFont="1" applyFill="1" applyBorder="1" applyAlignment="1" applyProtection="1">
      <alignment horizontal="center" vertical="center"/>
      <protection locked="0"/>
    </xf>
    <xf numFmtId="0" fontId="21" fillId="3" borderId="2" xfId="0" applyFont="1" applyFill="1" applyBorder="1" applyAlignment="1" applyProtection="1">
      <alignment horizontal="center" vertical="center"/>
      <protection hidden="1"/>
    </xf>
    <xf numFmtId="20" fontId="12" fillId="3" borderId="28" xfId="0" applyNumberFormat="1" applyFont="1" applyFill="1" applyBorder="1" applyAlignment="1" applyProtection="1">
      <alignment horizontal="center" vertical="center" wrapText="1"/>
    </xf>
    <xf numFmtId="0" fontId="0" fillId="6" borderId="29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/>
      <protection hidden="1"/>
    </xf>
    <xf numFmtId="0" fontId="4" fillId="13" borderId="0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horizontal="left"/>
      <protection hidden="1"/>
    </xf>
    <xf numFmtId="0" fontId="4" fillId="34" borderId="0" xfId="0" applyFont="1" applyFill="1" applyBorder="1" applyAlignment="1" applyProtection="1">
      <alignment horizontal="left"/>
      <protection hidden="1"/>
    </xf>
    <xf numFmtId="0" fontId="32" fillId="0" borderId="0" xfId="0" applyNumberFormat="1" applyFont="1" applyAlignment="1" applyProtection="1">
      <alignment horizontal="right"/>
      <protection hidden="1"/>
    </xf>
    <xf numFmtId="1" fontId="24" fillId="0" borderId="26" xfId="0" applyNumberFormat="1" applyFont="1" applyFill="1" applyBorder="1" applyAlignment="1" applyProtection="1">
      <alignment horizontal="center" wrapText="1"/>
      <protection locked="0" hidden="1"/>
    </xf>
    <xf numFmtId="0" fontId="45" fillId="0" borderId="0" xfId="0" applyFont="1"/>
    <xf numFmtId="0" fontId="21" fillId="3" borderId="31" xfId="0" applyFont="1" applyFill="1" applyBorder="1" applyAlignment="1">
      <alignment horizontal="center" vertical="center" wrapText="1"/>
    </xf>
    <xf numFmtId="1" fontId="24" fillId="0" borderId="26" xfId="0" applyNumberFormat="1" applyFont="1" applyFill="1" applyBorder="1" applyAlignment="1" applyProtection="1">
      <alignment horizontal="center"/>
      <protection hidden="1"/>
    </xf>
    <xf numFmtId="0" fontId="34" fillId="4" borderId="2" xfId="1" applyNumberFormat="1" applyFont="1" applyFill="1" applyBorder="1" applyAlignment="1" applyProtection="1">
      <alignment horizontal="center" vertical="center"/>
      <protection hidden="1"/>
    </xf>
    <xf numFmtId="0" fontId="24" fillId="12" borderId="11" xfId="0" applyFont="1" applyFill="1" applyBorder="1" applyAlignment="1" applyProtection="1">
      <protection hidden="1"/>
    </xf>
    <xf numFmtId="0" fontId="24" fillId="11" borderId="11" xfId="0" applyFont="1" applyFill="1" applyBorder="1" applyAlignment="1" applyProtection="1">
      <protection hidden="1"/>
    </xf>
    <xf numFmtId="0" fontId="34" fillId="4" borderId="14" xfId="0" applyFont="1" applyFill="1" applyBorder="1" applyAlignment="1" applyProtection="1">
      <alignment horizontal="center" vertical="center"/>
      <protection hidden="1"/>
    </xf>
    <xf numFmtId="0" fontId="12" fillId="3" borderId="2" xfId="0" applyFont="1" applyFill="1" applyBorder="1" applyAlignment="1" applyProtection="1">
      <alignment horizontal="left" vertical="center" wrapText="1"/>
      <protection hidden="1"/>
    </xf>
    <xf numFmtId="0" fontId="24" fillId="0" borderId="0" xfId="0" applyNumberFormat="1" applyFont="1" applyBorder="1" applyAlignment="1" applyProtection="1">
      <alignment horizontal="center" vertical="center"/>
      <protection hidden="1"/>
    </xf>
    <xf numFmtId="0" fontId="46" fillId="0" borderId="0" xfId="0" applyFont="1" applyFill="1" applyBorder="1" applyAlignment="1">
      <alignment horizontal="center" vertical="center"/>
    </xf>
    <xf numFmtId="0" fontId="46" fillId="0" borderId="0" xfId="0" applyFont="1" applyFill="1" applyAlignment="1" applyProtection="1">
      <alignment horizontal="center" vertical="center"/>
    </xf>
    <xf numFmtId="20" fontId="49" fillId="0" borderId="0" xfId="0" applyNumberFormat="1" applyFont="1" applyFill="1" applyAlignment="1" applyProtection="1">
      <alignment horizontal="center" vertical="center"/>
      <protection locked="0"/>
    </xf>
    <xf numFmtId="1" fontId="34" fillId="23" borderId="2" xfId="1" applyNumberFormat="1" applyFont="1" applyFill="1" applyBorder="1" applyAlignment="1" applyProtection="1">
      <alignment horizontal="center" vertical="center"/>
      <protection locked="0"/>
    </xf>
    <xf numFmtId="0" fontId="34" fillId="35" borderId="2" xfId="1" applyNumberFormat="1" applyFont="1" applyFill="1" applyBorder="1" applyAlignment="1" applyProtection="1">
      <alignment horizontal="center" vertical="center"/>
      <protection locked="0"/>
    </xf>
    <xf numFmtId="1" fontId="34" fillId="35" borderId="2" xfId="1" applyNumberFormat="1" applyFont="1" applyFill="1" applyBorder="1" applyAlignment="1" applyProtection="1">
      <alignment horizontal="center" vertical="center"/>
      <protection locked="0"/>
    </xf>
    <xf numFmtId="0" fontId="23" fillId="0" borderId="0" xfId="0" quotePrefix="1" applyFont="1" applyFill="1" applyBorder="1" applyAlignment="1"/>
    <xf numFmtId="0" fontId="1" fillId="0" borderId="27" xfId="0" applyFont="1" applyBorder="1" applyAlignment="1">
      <alignment horizontal="center"/>
    </xf>
    <xf numFmtId="0" fontId="24" fillId="0" borderId="33" xfId="0" applyFont="1" applyFill="1" applyBorder="1" applyAlignment="1">
      <alignment vertical="center"/>
    </xf>
    <xf numFmtId="0" fontId="23" fillId="0" borderId="0" xfId="0" applyFont="1" applyFill="1" applyAlignment="1">
      <alignment vertical="center"/>
    </xf>
    <xf numFmtId="0" fontId="24" fillId="0" borderId="32" xfId="0" applyFont="1" applyFill="1" applyBorder="1" applyAlignment="1">
      <alignment vertical="center"/>
    </xf>
    <xf numFmtId="0" fontId="24" fillId="0" borderId="35" xfId="0" applyFont="1" applyFill="1" applyBorder="1" applyAlignment="1">
      <alignment vertical="center"/>
    </xf>
    <xf numFmtId="9" fontId="24" fillId="6" borderId="4" xfId="3" applyFont="1" applyFill="1" applyBorder="1" applyAlignment="1">
      <alignment horizontal="center" vertical="center"/>
    </xf>
    <xf numFmtId="171" fontId="24" fillId="6" borderId="36" xfId="3" applyNumberFormat="1" applyFont="1" applyFill="1" applyBorder="1" applyAlignment="1">
      <alignment horizontal="center" vertical="center"/>
    </xf>
    <xf numFmtId="0" fontId="24" fillId="6" borderId="3" xfId="0" applyFont="1" applyFill="1" applyBorder="1" applyAlignment="1">
      <alignment horizontal="left" vertical="center"/>
    </xf>
    <xf numFmtId="0" fontId="24" fillId="6" borderId="35" xfId="0" applyFont="1" applyFill="1" applyBorder="1" applyAlignment="1">
      <alignment horizontal="left" vertical="center"/>
    </xf>
    <xf numFmtId="0" fontId="24" fillId="0" borderId="35" xfId="0" applyFont="1" applyFill="1" applyBorder="1" applyAlignment="1">
      <alignment horizontal="left" vertical="center"/>
    </xf>
    <xf numFmtId="171" fontId="21" fillId="3" borderId="36" xfId="3" applyNumberFormat="1" applyFont="1" applyFill="1" applyBorder="1" applyAlignment="1">
      <alignment horizontal="center" vertical="center"/>
    </xf>
    <xf numFmtId="167" fontId="24" fillId="0" borderId="25" xfId="1" applyNumberFormat="1" applyFont="1" applyFill="1" applyBorder="1" applyAlignment="1">
      <alignment horizontal="center" vertical="center"/>
    </xf>
    <xf numFmtId="167" fontId="24" fillId="0" borderId="34" xfId="1" applyNumberFormat="1" applyFont="1" applyFill="1" applyBorder="1" applyAlignment="1">
      <alignment horizontal="center" vertical="center"/>
    </xf>
    <xf numFmtId="167" fontId="24" fillId="0" borderId="25" xfId="0" applyNumberFormat="1" applyFont="1" applyFill="1" applyBorder="1" applyAlignment="1">
      <alignment horizontal="center" vertical="center"/>
    </xf>
    <xf numFmtId="167" fontId="24" fillId="0" borderId="34" xfId="0" applyNumberFormat="1" applyFont="1" applyFill="1" applyBorder="1" applyAlignment="1">
      <alignment horizontal="center" vertical="center"/>
    </xf>
    <xf numFmtId="167" fontId="24" fillId="0" borderId="36" xfId="0" applyNumberFormat="1" applyFont="1" applyFill="1" applyBorder="1" applyAlignment="1">
      <alignment horizontal="center" vertical="center"/>
    </xf>
    <xf numFmtId="9" fontId="24" fillId="0" borderId="36" xfId="3" applyFont="1" applyFill="1" applyBorder="1" applyAlignment="1">
      <alignment horizontal="center" vertical="center"/>
    </xf>
    <xf numFmtId="0" fontId="47" fillId="3" borderId="35" xfId="0" applyFont="1" applyFill="1" applyBorder="1" applyAlignment="1">
      <alignment horizontal="center" vertical="center"/>
    </xf>
    <xf numFmtId="0" fontId="0" fillId="0" borderId="0" xfId="0" applyProtection="1"/>
    <xf numFmtId="0" fontId="0" fillId="0" borderId="0" xfId="0" applyBorder="1" applyProtection="1"/>
    <xf numFmtId="0" fontId="1" fillId="36" borderId="30" xfId="0" applyFont="1" applyFill="1" applyBorder="1" applyAlignment="1">
      <alignment horizontal="center"/>
    </xf>
    <xf numFmtId="0" fontId="1" fillId="36" borderId="30" xfId="0" applyFont="1" applyFill="1" applyBorder="1" applyAlignment="1" applyProtection="1">
      <alignment horizontal="center"/>
      <protection locked="0"/>
    </xf>
    <xf numFmtId="1" fontId="1" fillId="36" borderId="30" xfId="0" applyNumberFormat="1" applyFont="1" applyFill="1" applyBorder="1" applyAlignment="1" applyProtection="1">
      <alignment horizontal="center"/>
      <protection locked="0"/>
    </xf>
    <xf numFmtId="0" fontId="1" fillId="0" borderId="27" xfId="0" applyFont="1" applyBorder="1" applyAlignment="1" applyProtection="1">
      <alignment horizontal="center"/>
      <protection locked="0"/>
    </xf>
    <xf numFmtId="1" fontId="1" fillId="0" borderId="27" xfId="0" applyNumberFormat="1" applyFont="1" applyBorder="1" applyAlignment="1" applyProtection="1">
      <alignment horizontal="center"/>
      <protection locked="0"/>
    </xf>
    <xf numFmtId="0" fontId="1" fillId="36" borderId="27" xfId="0" applyFont="1" applyFill="1" applyBorder="1" applyAlignment="1" applyProtection="1">
      <alignment horizontal="center"/>
      <protection locked="0"/>
    </xf>
    <xf numFmtId="1" fontId="1" fillId="36" borderId="27" xfId="0" applyNumberFormat="1" applyFont="1" applyFill="1" applyBorder="1" applyAlignment="1" applyProtection="1">
      <alignment horizontal="center"/>
      <protection locked="0"/>
    </xf>
    <xf numFmtId="0" fontId="1" fillId="36" borderId="27" xfId="0" applyFont="1" applyFill="1" applyBorder="1" applyAlignment="1">
      <alignment horizontal="center"/>
    </xf>
    <xf numFmtId="0" fontId="45" fillId="0" borderId="0" xfId="0" applyFont="1" applyProtection="1"/>
    <xf numFmtId="20" fontId="12" fillId="3" borderId="37" xfId="0" applyNumberFormat="1" applyFont="1" applyFill="1" applyBorder="1" applyAlignment="1" applyProtection="1">
      <alignment horizontal="center" vertical="center" wrapText="1"/>
    </xf>
    <xf numFmtId="20" fontId="12" fillId="3" borderId="38" xfId="0" applyNumberFormat="1" applyFont="1" applyFill="1" applyBorder="1" applyAlignment="1" applyProtection="1">
      <alignment horizontal="center" vertical="center" wrapText="1"/>
    </xf>
    <xf numFmtId="0" fontId="0" fillId="6" borderId="39" xfId="0" applyFont="1" applyFill="1" applyBorder="1" applyAlignment="1" applyProtection="1">
      <alignment horizontal="center" vertical="center"/>
      <protection locked="0"/>
    </xf>
    <xf numFmtId="1" fontId="0" fillId="6" borderId="40" xfId="1" applyNumberFormat="1" applyFont="1" applyFill="1" applyBorder="1" applyAlignment="1" applyProtection="1">
      <alignment horizontal="center" vertical="center"/>
      <protection locked="0"/>
    </xf>
    <xf numFmtId="171" fontId="52" fillId="0" borderId="34" xfId="0" applyNumberFormat="1" applyFont="1" applyFill="1" applyBorder="1" applyAlignment="1">
      <alignment vertical="center"/>
    </xf>
    <xf numFmtId="171" fontId="21" fillId="0" borderId="34" xfId="0" applyNumberFormat="1" applyFont="1" applyFill="1" applyBorder="1" applyAlignment="1">
      <alignment horizontal="center" vertical="center"/>
    </xf>
    <xf numFmtId="0" fontId="21" fillId="0" borderId="34" xfId="0" applyFont="1" applyFill="1" applyBorder="1" applyAlignment="1">
      <alignment horizontal="center" vertical="center"/>
    </xf>
    <xf numFmtId="1" fontId="48" fillId="35" borderId="26" xfId="0" applyNumberFormat="1" applyFont="1" applyFill="1" applyBorder="1" applyAlignment="1" applyProtection="1">
      <protection hidden="1"/>
    </xf>
    <xf numFmtId="0" fontId="6" fillId="23" borderId="26" xfId="0" applyFont="1" applyFill="1" applyBorder="1" applyAlignment="1" applyProtection="1">
      <protection locked="0" hidden="1"/>
    </xf>
    <xf numFmtId="0" fontId="6" fillId="23" borderId="26" xfId="0" applyFont="1" applyFill="1" applyBorder="1" applyAlignment="1" applyProtection="1">
      <alignment wrapText="1"/>
      <protection locked="0" hidden="1"/>
    </xf>
    <xf numFmtId="0" fontId="48" fillId="23" borderId="26" xfId="0" applyFont="1" applyFill="1" applyBorder="1" applyAlignment="1" applyProtection="1">
      <protection locked="0" hidden="1"/>
    </xf>
    <xf numFmtId="0" fontId="1" fillId="36" borderId="30" xfId="0" quotePrefix="1" applyFont="1" applyFill="1" applyBorder="1" applyAlignment="1" applyProtection="1">
      <alignment horizontal="center"/>
      <protection locked="0"/>
    </xf>
    <xf numFmtId="0" fontId="34" fillId="0" borderId="13" xfId="0" applyFont="1" applyFill="1" applyBorder="1" applyAlignment="1" applyProtection="1">
      <alignment horizontal="center" vertical="center"/>
      <protection locked="0"/>
    </xf>
    <xf numFmtId="1" fontId="40" fillId="6" borderId="3" xfId="0" applyNumberFormat="1" applyFont="1" applyFill="1" applyBorder="1" applyAlignment="1" applyProtection="1">
      <alignment horizontal="center" vertical="center"/>
      <protection hidden="1"/>
    </xf>
    <xf numFmtId="1" fontId="40" fillId="6" borderId="4" xfId="0" applyNumberFormat="1" applyFont="1" applyFill="1" applyBorder="1" applyAlignment="1" applyProtection="1">
      <alignment horizontal="center" vertical="center"/>
      <protection hidden="1"/>
    </xf>
    <xf numFmtId="0" fontId="40" fillId="17" borderId="2" xfId="0" applyFont="1" applyFill="1" applyBorder="1" applyAlignment="1" applyProtection="1">
      <alignment horizontal="center" vertical="center" shrinkToFit="1"/>
      <protection locked="0"/>
    </xf>
    <xf numFmtId="0" fontId="21" fillId="3" borderId="32" xfId="0" applyFont="1" applyFill="1" applyBorder="1" applyAlignment="1" applyProtection="1">
      <alignment horizontal="center" vertical="center"/>
      <protection hidden="1"/>
    </xf>
    <xf numFmtId="0" fontId="21" fillId="3" borderId="0" xfId="0" applyFont="1" applyFill="1" applyBorder="1" applyAlignment="1" applyProtection="1">
      <alignment horizontal="center" vertical="center"/>
      <protection hidden="1"/>
    </xf>
    <xf numFmtId="0" fontId="21" fillId="3" borderId="2" xfId="0" applyFont="1" applyFill="1" applyBorder="1" applyAlignment="1" applyProtection="1">
      <alignment horizontal="center" vertical="center" wrapText="1"/>
      <protection hidden="1"/>
    </xf>
    <xf numFmtId="0" fontId="40" fillId="17" borderId="2" xfId="0" applyFont="1" applyFill="1" applyBorder="1" applyAlignment="1" applyProtection="1">
      <alignment horizontal="center" vertical="center"/>
      <protection locked="0"/>
    </xf>
    <xf numFmtId="169" fontId="40" fillId="23" borderId="3" xfId="1" applyNumberFormat="1" applyFont="1" applyFill="1" applyBorder="1" applyAlignment="1" applyProtection="1">
      <alignment horizontal="center" vertical="center"/>
      <protection hidden="1"/>
    </xf>
    <xf numFmtId="169" fontId="40" fillId="23" borderId="4" xfId="1" applyNumberFormat="1" applyFont="1" applyFill="1" applyBorder="1" applyAlignment="1" applyProtection="1">
      <alignment horizontal="center" vertical="center"/>
      <protection hidden="1"/>
    </xf>
    <xf numFmtId="170" fontId="40" fillId="23" borderId="3" xfId="1" applyNumberFormat="1" applyFont="1" applyFill="1" applyBorder="1" applyAlignment="1" applyProtection="1">
      <alignment horizontal="center" vertical="center"/>
      <protection hidden="1"/>
    </xf>
    <xf numFmtId="170" fontId="40" fillId="23" borderId="4" xfId="1" applyNumberFormat="1" applyFont="1" applyFill="1" applyBorder="1" applyAlignment="1" applyProtection="1">
      <alignment horizontal="center" vertical="center"/>
      <protection hidden="1"/>
    </xf>
    <xf numFmtId="0" fontId="21" fillId="3" borderId="3" xfId="0" applyFont="1" applyFill="1" applyBorder="1" applyAlignment="1" applyProtection="1">
      <alignment horizontal="center" vertical="center"/>
      <protection hidden="1"/>
    </xf>
    <xf numFmtId="0" fontId="21" fillId="3" borderId="4" xfId="0" applyFont="1" applyFill="1" applyBorder="1" applyAlignment="1" applyProtection="1">
      <alignment horizontal="center" vertical="center"/>
      <protection hidden="1"/>
    </xf>
    <xf numFmtId="0" fontId="40" fillId="17" borderId="3" xfId="0" applyFont="1" applyFill="1" applyBorder="1" applyAlignment="1" applyProtection="1">
      <alignment horizontal="center" vertical="center"/>
      <protection locked="0"/>
    </xf>
    <xf numFmtId="0" fontId="40" fillId="17" borderId="4" xfId="0" applyFont="1" applyFill="1" applyBorder="1" applyAlignment="1" applyProtection="1">
      <alignment horizontal="center" vertical="center"/>
      <protection locked="0"/>
    </xf>
    <xf numFmtId="0" fontId="21" fillId="3" borderId="3" xfId="0" applyFont="1" applyFill="1" applyBorder="1" applyAlignment="1" applyProtection="1">
      <alignment horizontal="center" vertical="center" wrapText="1"/>
      <protection hidden="1"/>
    </xf>
    <xf numFmtId="0" fontId="21" fillId="3" borderId="4" xfId="0" applyFont="1" applyFill="1" applyBorder="1" applyAlignment="1" applyProtection="1">
      <alignment horizontal="center" vertical="center" wrapText="1"/>
      <protection hidden="1"/>
    </xf>
    <xf numFmtId="0" fontId="34" fillId="0" borderId="13" xfId="0" applyFont="1" applyBorder="1" applyAlignment="1" applyProtection="1">
      <alignment horizontal="center"/>
      <protection locked="0"/>
    </xf>
    <xf numFmtId="0" fontId="34" fillId="0" borderId="14" xfId="0" applyFont="1" applyBorder="1" applyAlignment="1" applyProtection="1">
      <alignment horizontal="center"/>
      <protection locked="0"/>
    </xf>
    <xf numFmtId="0" fontId="37" fillId="6" borderId="13" xfId="0" applyFont="1" applyFill="1" applyBorder="1" applyAlignment="1" applyProtection="1">
      <alignment horizontal="center" vertical="center" wrapText="1"/>
      <protection hidden="1"/>
    </xf>
    <xf numFmtId="0" fontId="37" fillId="6" borderId="14" xfId="0" applyFont="1" applyFill="1" applyBorder="1" applyAlignment="1" applyProtection="1">
      <alignment horizontal="center" vertical="center" wrapText="1"/>
      <protection hidden="1"/>
    </xf>
    <xf numFmtId="0" fontId="34" fillId="0" borderId="13" xfId="0" applyFont="1" applyFill="1" applyBorder="1" applyAlignment="1" applyProtection="1">
      <alignment horizontal="center" vertical="center"/>
      <protection locked="0"/>
    </xf>
    <xf numFmtId="0" fontId="34" fillId="0" borderId="14" xfId="0" applyFont="1" applyFill="1" applyBorder="1" applyAlignment="1" applyProtection="1">
      <alignment horizontal="center" vertical="center"/>
      <protection locked="0"/>
    </xf>
    <xf numFmtId="0" fontId="43" fillId="0" borderId="0" xfId="5" applyFont="1" applyFill="1" applyAlignment="1" applyProtection="1">
      <alignment horizontal="center" vertical="center" wrapText="1"/>
      <protection hidden="1"/>
    </xf>
    <xf numFmtId="0" fontId="37" fillId="4" borderId="13" xfId="0" applyFont="1" applyFill="1" applyBorder="1" applyAlignment="1" applyProtection="1">
      <alignment horizontal="center" vertical="center" wrapText="1"/>
      <protection hidden="1"/>
    </xf>
    <xf numFmtId="0" fontId="37" fillId="4" borderId="14" xfId="0" applyFont="1" applyFill="1" applyBorder="1" applyAlignment="1" applyProtection="1">
      <alignment horizontal="center" vertical="center" wrapText="1"/>
      <protection hidden="1"/>
    </xf>
    <xf numFmtId="166" fontId="40" fillId="4" borderId="2" xfId="0" applyNumberFormat="1" applyFont="1" applyFill="1" applyBorder="1" applyAlignment="1" applyProtection="1">
      <alignment horizontal="center" vertical="center" wrapText="1"/>
      <protection hidden="1"/>
    </xf>
  </cellXfs>
  <cellStyles count="6">
    <cellStyle name="Hiperlink" xfId="5" builtinId="8"/>
    <cellStyle name="Normal" xfId="0" builtinId="0"/>
    <cellStyle name="Normal 2" xfId="4"/>
    <cellStyle name="Porcentagem" xfId="3" builtinId="5"/>
    <cellStyle name="Vírgula" xfId="1" builtinId="3"/>
    <cellStyle name="Vírgula 2" xfId="2"/>
  </cellStyles>
  <dxfs count="115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7"/>
        </patternFill>
      </fill>
    </dxf>
    <dxf>
      <font>
        <b/>
        <i val="0"/>
        <color auto="1"/>
      </font>
      <fill>
        <patternFill>
          <bgColor rgb="FFFFFF0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color theme="1" tint="4.9989318521683403E-2"/>
      </font>
      <fill>
        <patternFill>
          <bgColor theme="6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theme="6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MySqlDefault" pivot="0" table="0" count="0"/>
  </tableStyles>
  <colors>
    <mruColors>
      <color rgb="FF9BE9F3"/>
      <color rgb="FFCCCCFF"/>
      <color rgb="FFBDD7EE"/>
      <color rgb="FF1394A5"/>
      <color rgb="FFFFCCFF"/>
      <color rgb="FFFDD1C3"/>
      <color rgb="FFFF9900"/>
      <color rgb="FFFF66CC"/>
      <color rgb="FF00CC99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Radio" checked="Checked" firstButton="1" fmlaLink="CJ2" lockText="1"/>
</file>

<file path=xl/ctrlProps/ctrlProp3.xml><?xml version="1.0" encoding="utf-8"?>
<formControlPr xmlns="http://schemas.microsoft.com/office/spreadsheetml/2009/9/main" objectType="Radio" lockText="1"/>
</file>

<file path=xl/ctrlProps/ctrlProp4.xml><?xml version="1.0" encoding="utf-8"?>
<formControlPr xmlns="http://schemas.microsoft.com/office/spreadsheetml/2009/9/main" objectType="Radio" lockText="1"/>
</file>

<file path=xl/ctrlProps/ctrlProp5.xml><?xml version="1.0" encoding="utf-8"?>
<formControlPr xmlns="http://schemas.microsoft.com/office/spreadsheetml/2009/9/main" objectType="CheckBox" fmlaLink="$CJ$4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21166</xdr:colOff>
          <xdr:row>4</xdr:row>
          <xdr:rowOff>237067</xdr:rowOff>
        </xdr:from>
        <xdr:to>
          <xdr:col>71</xdr:col>
          <xdr:colOff>2486025</xdr:colOff>
          <xdr:row>7</xdr:row>
          <xdr:rowOff>45508</xdr:rowOff>
        </xdr:to>
        <xdr:grpSp>
          <xdr:nvGrpSpPr>
            <xdr:cNvPr id="3" name="Grupo 2">
              <a:extLst>
                <a:ext uri="{FF2B5EF4-FFF2-40B4-BE49-F238E27FC236}">
                  <a16:creationId xmlns:a16="http://schemas.microsoft.com/office/drawing/2014/main" xmlns="" id="{00000000-0008-0000-0100-000003000000}"/>
                </a:ext>
              </a:extLst>
            </xdr:cNvPr>
            <xdr:cNvGrpSpPr/>
          </xdr:nvGrpSpPr>
          <xdr:grpSpPr>
            <a:xfrm>
              <a:off x="49678166" y="1053042"/>
              <a:ext cx="2464859" cy="516466"/>
              <a:chOff x="36564834" y="1083736"/>
              <a:chExt cx="2390775" cy="549276"/>
            </a:xfrm>
          </xdr:grpSpPr>
          <xdr:sp macro="" textlink="">
            <xdr:nvSpPr>
              <xdr:cNvPr id="1028" name="Group Box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xmlns="" id="{00000000-0008-0000-0100-000004040000}"/>
                  </a:ext>
                </a:extLst>
              </xdr:cNvPr>
              <xdr:cNvSpPr/>
            </xdr:nvSpPr>
            <xdr:spPr bwMode="auto">
              <a:xfrm>
                <a:off x="36564834" y="1083736"/>
                <a:ext cx="2390775" cy="54927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SELECIONAR TURNOS DE PRODUÇÃO DO DIA:</a:t>
                </a:r>
              </a:p>
            </xdr:txBody>
          </xdr:sp>
          <xdr:sp macro="" textlink="">
            <xdr:nvSpPr>
              <xdr:cNvPr id="1036" name="Option Butto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xmlns="" id="{00000000-0008-0000-0100-00000C040000}"/>
                  </a:ext>
                </a:extLst>
              </xdr:cNvPr>
              <xdr:cNvSpPr/>
            </xdr:nvSpPr>
            <xdr:spPr bwMode="auto">
              <a:xfrm>
                <a:off x="36622567" y="1250950"/>
                <a:ext cx="733425" cy="252942"/>
              </a:xfrm>
              <a:prstGeom prst="rect">
                <a:avLst/>
              </a:prstGeom>
              <a:solidFill>
                <a:srgbClr val="C6D9F0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1 TURNO</a:t>
                </a:r>
              </a:p>
            </xdr:txBody>
          </xdr:sp>
          <xdr:sp macro="" textlink="">
            <xdr:nvSpPr>
              <xdr:cNvPr id="1037" name="Option Button 13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xmlns="" id="{00000000-0008-0000-0100-00000D040000}"/>
                  </a:ext>
                </a:extLst>
              </xdr:cNvPr>
              <xdr:cNvSpPr/>
            </xdr:nvSpPr>
            <xdr:spPr bwMode="auto">
              <a:xfrm>
                <a:off x="37403617" y="1250950"/>
                <a:ext cx="742950" cy="252942"/>
              </a:xfrm>
              <a:prstGeom prst="rect">
                <a:avLst/>
              </a:prstGeom>
              <a:solidFill>
                <a:srgbClr val="C6D9F0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2 TURNOS</a:t>
                </a:r>
              </a:p>
            </xdr:txBody>
          </xdr:sp>
          <xdr:sp macro="" textlink="">
            <xdr:nvSpPr>
              <xdr:cNvPr id="1038" name="Option 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xmlns="" id="{00000000-0008-0000-0100-00000E040000}"/>
                  </a:ext>
                </a:extLst>
              </xdr:cNvPr>
              <xdr:cNvSpPr/>
            </xdr:nvSpPr>
            <xdr:spPr bwMode="auto">
              <a:xfrm>
                <a:off x="38184667" y="1250950"/>
                <a:ext cx="742950" cy="252942"/>
              </a:xfrm>
              <a:prstGeom prst="rect">
                <a:avLst/>
              </a:prstGeom>
              <a:solidFill>
                <a:srgbClr val="C6D9F0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ESPECIAL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9525</xdr:rowOff>
        </xdr:from>
        <xdr:to>
          <xdr:col>2</xdr:col>
          <xdr:colOff>571500</xdr:colOff>
          <xdr:row>7</xdr:row>
          <xdr:rowOff>171450</xdr:rowOff>
        </xdr:to>
        <xdr:sp macro="" textlink="">
          <xdr:nvSpPr>
            <xdr:cNvPr id="1040" name="ComboBox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xmlns="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71</xdr:col>
          <xdr:colOff>28575</xdr:colOff>
          <xdr:row>7</xdr:row>
          <xdr:rowOff>76200</xdr:rowOff>
        </xdr:from>
        <xdr:to>
          <xdr:col>71</xdr:col>
          <xdr:colOff>2476500</xdr:colOff>
          <xdr:row>8</xdr:row>
          <xdr:rowOff>180975</xdr:rowOff>
        </xdr:to>
        <xdr:sp macro="" textlink="">
          <xdr:nvSpPr>
            <xdr:cNvPr id="1054" name="Check Box 30" descr="PREENCHER HORAS EXTRAS NOS CAMPOS DESTACADOS EM AMARELO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xmlns="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D9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SELECIONAR E PREENCHER HORAS EXTRAS NOS CAMPOS DESTACADOS EM AMARELO</a:t>
              </a:r>
            </a:p>
          </xdr:txBody>
        </xdr:sp>
        <xdr:clientData/>
      </xdr:twoCellAnchor>
    </mc:Choice>
    <mc:Fallback/>
  </mc:AlternateContent>
  <xdr:twoCellAnchor>
    <xdr:from>
      <xdr:col>71</xdr:col>
      <xdr:colOff>1989666</xdr:colOff>
      <xdr:row>7</xdr:row>
      <xdr:rowOff>243417</xdr:rowOff>
    </xdr:from>
    <xdr:to>
      <xdr:col>71</xdr:col>
      <xdr:colOff>2444749</xdr:colOff>
      <xdr:row>8</xdr:row>
      <xdr:rowOff>100542</xdr:rowOff>
    </xdr:to>
    <xdr:sp macro="" textlink="">
      <xdr:nvSpPr>
        <xdr:cNvPr id="4" name="Seta para a direita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52175833" y="1894417"/>
          <a:ext cx="455083" cy="111125"/>
        </a:xfrm>
        <a:prstGeom prst="rightArrow">
          <a:avLst/>
        </a:prstGeom>
        <a:solidFill>
          <a:srgbClr val="002060"/>
        </a:solidFill>
        <a:ln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74082</xdr:colOff>
      <xdr:row>0</xdr:row>
      <xdr:rowOff>52918</xdr:rowOff>
    </xdr:from>
    <xdr:to>
      <xdr:col>4</xdr:col>
      <xdr:colOff>677332</xdr:colOff>
      <xdr:row>3</xdr:row>
      <xdr:rowOff>95250</xdr:rowOff>
    </xdr:to>
    <xdr:sp macro="" textlink="">
      <xdr:nvSpPr>
        <xdr:cNvPr id="2" name="Arredondar Retângulo em um Canto Diagonal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74082" y="52918"/>
          <a:ext cx="3888840" cy="684467"/>
        </a:xfrm>
        <a:prstGeom prst="round2Diag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APONTAMENTO DE</a:t>
          </a:r>
          <a:r>
            <a:rPr lang="pt-BR" sz="2000" b="1" baseline="0"/>
            <a:t> </a:t>
          </a:r>
          <a:r>
            <a:rPr lang="pt-BR" sz="2000" b="1"/>
            <a:t>PRODUÇÃO</a:t>
          </a:r>
        </a:p>
      </xdr:txBody>
    </xdr:sp>
    <xdr:clientData/>
  </xdr:twoCellAnchor>
  <xdr:twoCellAnchor>
    <xdr:from>
      <xdr:col>4</xdr:col>
      <xdr:colOff>52917</xdr:colOff>
      <xdr:row>7</xdr:row>
      <xdr:rowOff>222251</xdr:rowOff>
    </xdr:from>
    <xdr:to>
      <xdr:col>4</xdr:col>
      <xdr:colOff>690117</xdr:colOff>
      <xdr:row>8</xdr:row>
      <xdr:rowOff>211666</xdr:rowOff>
    </xdr:to>
    <xdr:sp macro="[0]!Plan1.OcultaRetrabalho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/>
      </xdr:nvSpPr>
      <xdr:spPr>
        <a:xfrm>
          <a:off x="3344334" y="1365251"/>
          <a:ext cx="637200" cy="243415"/>
        </a:xfrm>
        <a:prstGeom prst="round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0"/>
            <a:t>OCULTA</a:t>
          </a:r>
        </a:p>
      </xdr:txBody>
    </xdr:sp>
    <xdr:clientData/>
  </xdr:twoCellAnchor>
  <xdr:twoCellAnchor>
    <xdr:from>
      <xdr:col>4</xdr:col>
      <xdr:colOff>52916</xdr:colOff>
      <xdr:row>6</xdr:row>
      <xdr:rowOff>222255</xdr:rowOff>
    </xdr:from>
    <xdr:to>
      <xdr:col>4</xdr:col>
      <xdr:colOff>688977</xdr:colOff>
      <xdr:row>7</xdr:row>
      <xdr:rowOff>220255</xdr:rowOff>
    </xdr:to>
    <xdr:sp macro="[0]!Plan1.ExibeRetrabalho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3344333" y="1111255"/>
          <a:ext cx="636061" cy="252000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0"/>
            <a:t>EXIBE</a:t>
          </a:r>
        </a:p>
      </xdr:txBody>
    </xdr:sp>
    <xdr:clientData/>
  </xdr:twoCellAnchor>
  <xdr:twoCellAnchor editAs="oneCell">
    <xdr:from>
      <xdr:col>0</xdr:col>
      <xdr:colOff>74085</xdr:colOff>
      <xdr:row>3</xdr:row>
      <xdr:rowOff>137576</xdr:rowOff>
    </xdr:from>
    <xdr:to>
      <xdr:col>0</xdr:col>
      <xdr:colOff>857250</xdr:colOff>
      <xdr:row>4</xdr:row>
      <xdr:rowOff>99314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85" y="772576"/>
          <a:ext cx="783165" cy="1945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B1:BF574"/>
  <sheetViews>
    <sheetView showGridLines="0" topLeftCell="AS1" zoomScale="70" zoomScaleNormal="70" workbookViewId="0">
      <selection activeCell="AX8" sqref="AX8"/>
    </sheetView>
  </sheetViews>
  <sheetFormatPr defaultRowHeight="15" outlineLevelCol="1"/>
  <cols>
    <col min="1" max="1" width="1.28515625" style="35" customWidth="1"/>
    <col min="2" max="2" width="15.5703125" style="25" customWidth="1" outlineLevel="1"/>
    <col min="3" max="3" width="14.42578125" style="25" customWidth="1" outlineLevel="1"/>
    <col min="4" max="4" width="2.7109375" style="25" customWidth="1" outlineLevel="1"/>
    <col min="5" max="5" width="14" style="25" customWidth="1" outlineLevel="1"/>
    <col min="6" max="6" width="19.85546875" style="27" customWidth="1" outlineLevel="1"/>
    <col min="7" max="7" width="2.7109375" style="27" customWidth="1" outlineLevel="1"/>
    <col min="8" max="8" width="15.5703125" style="27" customWidth="1" outlineLevel="1"/>
    <col min="9" max="9" width="20.7109375" style="269" customWidth="1" outlineLevel="1"/>
    <col min="10" max="10" width="2.7109375" style="27" customWidth="1" outlineLevel="1"/>
    <col min="11" max="11" width="15.5703125" style="27" customWidth="1" outlineLevel="1"/>
    <col min="12" max="12" width="20.7109375" style="269" customWidth="1" outlineLevel="1"/>
    <col min="13" max="13" width="2.7109375" style="27" customWidth="1" outlineLevel="1"/>
    <col min="14" max="14" width="20.7109375" style="25" customWidth="1" outlineLevel="1"/>
    <col min="15" max="15" width="20.7109375" style="27" customWidth="1" outlineLevel="1"/>
    <col min="16" max="16" width="10.42578125" style="82" customWidth="1" outlineLevel="1"/>
    <col min="17" max="17" width="2.42578125" style="82" customWidth="1" outlineLevel="1"/>
    <col min="18" max="18" width="20.7109375" style="72" customWidth="1" outlineLevel="1"/>
    <col min="19" max="19" width="20.7109375" style="84" customWidth="1" outlineLevel="1"/>
    <col min="20" max="20" width="28.140625" style="72" customWidth="1" outlineLevel="1"/>
    <col min="21" max="21" width="15.7109375" style="34" customWidth="1"/>
    <col min="22" max="22" width="14.140625" style="36" customWidth="1"/>
    <col min="23" max="23" width="13.85546875" style="36" customWidth="1"/>
    <col min="24" max="24" width="2.7109375" style="35" customWidth="1"/>
    <col min="25" max="25" width="14.140625" style="36" customWidth="1"/>
    <col min="26" max="26" width="14.85546875" style="36" customWidth="1"/>
    <col min="27" max="27" width="2.7109375" style="35" customWidth="1"/>
    <col min="28" max="28" width="14.140625" style="35" customWidth="1"/>
    <col min="29" max="29" width="24.5703125" style="34" customWidth="1"/>
    <col min="30" max="30" width="2.7109375" style="35" customWidth="1"/>
    <col min="31" max="31" width="22.42578125" style="35" bestFit="1" customWidth="1"/>
    <col min="32" max="32" width="32.140625" style="35" customWidth="1"/>
    <col min="33" max="33" width="2.7109375" style="35" customWidth="1"/>
    <col min="34" max="34" width="22.42578125" style="35" bestFit="1" customWidth="1"/>
    <col min="35" max="35" width="26.5703125" style="35" customWidth="1"/>
    <col min="36" max="36" width="2.7109375" style="35" customWidth="1"/>
    <col min="37" max="37" width="21.28515625" style="35" customWidth="1"/>
    <col min="38" max="38" width="27.42578125" style="35" customWidth="1"/>
    <col min="39" max="39" width="2.7109375" style="35" customWidth="1"/>
    <col min="40" max="40" width="21.28515625" style="35" bestFit="1" customWidth="1"/>
    <col min="41" max="41" width="20.7109375" style="35" customWidth="1"/>
    <col min="42" max="42" width="52.42578125" style="83" bestFit="1" customWidth="1"/>
    <col min="43" max="43" width="2.42578125" style="35" customWidth="1"/>
    <col min="44" max="49" width="23.85546875" style="35" customWidth="1"/>
    <col min="50" max="50" width="23.85546875" style="35" bestFit="1" customWidth="1"/>
    <col min="51" max="52" width="5.7109375" style="35" customWidth="1"/>
    <col min="53" max="53" width="12.140625" style="35" bestFit="1" customWidth="1"/>
    <col min="54" max="54" width="2.7109375" style="35" customWidth="1"/>
    <col min="55" max="55" width="19.7109375" style="35" bestFit="1" customWidth="1"/>
    <col min="56" max="56" width="2.7109375" style="35" customWidth="1"/>
    <col min="57" max="57" width="19.7109375" style="35" bestFit="1" customWidth="1"/>
    <col min="58" max="58" width="2.7109375" style="35" customWidth="1"/>
    <col min="59" max="16384" width="9.140625" style="35"/>
  </cols>
  <sheetData>
    <row r="1" spans="2:58">
      <c r="B1" s="24">
        <f>SUBTOTAL(3,C3:C520)</f>
        <v>518</v>
      </c>
      <c r="E1" s="26">
        <f>SUBTOTAL(3,F3:F114)</f>
        <v>112</v>
      </c>
      <c r="F1" s="25"/>
      <c r="H1" s="29">
        <f>SUBTOTAL(3,I3:I92)</f>
        <v>90</v>
      </c>
      <c r="K1" s="241">
        <f>SUBTOTAL(3,L3:L90)</f>
        <v>43</v>
      </c>
      <c r="N1" s="30">
        <f>SUBTOTAL(3,O3:O499)</f>
        <v>497</v>
      </c>
      <c r="O1" s="30"/>
      <c r="P1" s="30"/>
      <c r="R1" s="32">
        <f>SUBTOTAL(3,S3:S366)</f>
        <v>364</v>
      </c>
      <c r="S1" s="33"/>
      <c r="T1" s="32"/>
      <c r="V1" s="24" t="s">
        <v>56</v>
      </c>
      <c r="W1" s="24" t="s">
        <v>14</v>
      </c>
      <c r="Y1" s="26" t="s">
        <v>56</v>
      </c>
      <c r="Z1" s="26" t="s">
        <v>57</v>
      </c>
      <c r="AB1" s="28" t="s">
        <v>56</v>
      </c>
      <c r="AC1" s="28" t="s">
        <v>198</v>
      </c>
      <c r="AE1" s="29" t="s">
        <v>56</v>
      </c>
      <c r="AF1" s="29" t="s">
        <v>1063</v>
      </c>
      <c r="AG1" s="36"/>
      <c r="AH1" s="241" t="s">
        <v>56</v>
      </c>
      <c r="AI1" s="241" t="s">
        <v>1073</v>
      </c>
      <c r="AJ1" s="36"/>
      <c r="AK1" s="30" t="s">
        <v>56</v>
      </c>
      <c r="AL1" s="30" t="s">
        <v>396</v>
      </c>
      <c r="AM1" s="36"/>
      <c r="AN1" s="32" t="s">
        <v>56</v>
      </c>
      <c r="AO1" s="32" t="s">
        <v>913</v>
      </c>
      <c r="AP1" s="32" t="s">
        <v>1000</v>
      </c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7" t="s">
        <v>58</v>
      </c>
      <c r="BB1" s="38"/>
      <c r="BC1" s="37" t="s">
        <v>17</v>
      </c>
      <c r="BD1" s="38"/>
      <c r="BE1" s="37" t="s">
        <v>59</v>
      </c>
      <c r="BF1" s="36"/>
    </row>
    <row r="2" spans="2:58" ht="15.75">
      <c r="B2" s="37" t="s">
        <v>56</v>
      </c>
      <c r="C2" s="37" t="s">
        <v>14</v>
      </c>
      <c r="E2" s="37" t="s">
        <v>56</v>
      </c>
      <c r="F2" s="37" t="s">
        <v>57</v>
      </c>
      <c r="G2" s="25"/>
      <c r="H2" s="37" t="s">
        <v>56</v>
      </c>
      <c r="I2" s="37" t="s">
        <v>1063</v>
      </c>
      <c r="J2" s="31"/>
      <c r="K2" s="37" t="s">
        <v>56</v>
      </c>
      <c r="L2" s="42" t="s">
        <v>1062</v>
      </c>
      <c r="M2" s="31"/>
      <c r="N2" s="37" t="s">
        <v>56</v>
      </c>
      <c r="O2" s="37" t="s">
        <v>396</v>
      </c>
      <c r="P2" s="37" t="s">
        <v>1056</v>
      </c>
      <c r="Q2" s="31"/>
      <c r="R2" s="37" t="s">
        <v>56</v>
      </c>
      <c r="S2" s="37" t="s">
        <v>199</v>
      </c>
      <c r="T2" s="37" t="s">
        <v>913</v>
      </c>
      <c r="U2" s="39" t="s">
        <v>426</v>
      </c>
      <c r="V2" s="40" t="str">
        <f>Apontamentos!A7</f>
        <v>WS-CLIP</v>
      </c>
      <c r="W2" s="37"/>
      <c r="X2" s="25"/>
      <c r="Y2" s="40" t="str">
        <f>Apontamentos!A7</f>
        <v>WS-CLIP</v>
      </c>
      <c r="Z2" s="37"/>
      <c r="AA2" s="41"/>
      <c r="AB2" s="40" t="str">
        <f>Apontamentos!A7</f>
        <v>WS-CLIP</v>
      </c>
      <c r="AC2" s="37"/>
      <c r="AD2" s="41"/>
      <c r="AE2" s="40" t="str">
        <f>Apontamentos!A7</f>
        <v>WS-CLIP</v>
      </c>
      <c r="AF2" s="37"/>
      <c r="AG2" s="38"/>
      <c r="AH2" s="40" t="str">
        <f>Apontamentos!A7</f>
        <v>WS-CLIP</v>
      </c>
      <c r="AI2" s="37"/>
      <c r="AJ2" s="38"/>
      <c r="AK2" s="40" t="str">
        <f>Apontamentos!A7</f>
        <v>WS-CLIP</v>
      </c>
      <c r="AL2" s="37"/>
      <c r="AM2" s="38"/>
      <c r="AN2" s="40" t="str">
        <f>Apontamentos!A7</f>
        <v>WS-CLIP</v>
      </c>
      <c r="AO2" s="42"/>
      <c r="AP2" s="42"/>
      <c r="AQ2" s="38"/>
      <c r="AR2" s="43" t="s">
        <v>908</v>
      </c>
      <c r="AS2" s="44" t="s">
        <v>909</v>
      </c>
      <c r="AT2" s="45" t="s">
        <v>910</v>
      </c>
      <c r="AU2" s="46" t="s">
        <v>966</v>
      </c>
      <c r="AV2" s="47" t="s">
        <v>911</v>
      </c>
      <c r="AW2" s="48" t="s">
        <v>912</v>
      </c>
      <c r="AX2" s="49" t="s">
        <v>429</v>
      </c>
      <c r="AZ2" s="38"/>
      <c r="BA2" s="50" t="s">
        <v>11</v>
      </c>
      <c r="BB2" s="36"/>
      <c r="BC2" s="50" t="s">
        <v>16</v>
      </c>
      <c r="BD2" s="36"/>
      <c r="BE2" s="51" t="s">
        <v>6</v>
      </c>
      <c r="BF2" s="36"/>
    </row>
    <row r="3" spans="2:58">
      <c r="B3" s="24" t="s">
        <v>60</v>
      </c>
      <c r="C3" s="24" t="s">
        <v>26</v>
      </c>
      <c r="E3" s="85" t="s">
        <v>60</v>
      </c>
      <c r="F3" s="85" t="s">
        <v>669</v>
      </c>
      <c r="H3" s="29" t="s">
        <v>321</v>
      </c>
      <c r="I3" s="270" t="s">
        <v>447</v>
      </c>
      <c r="K3" s="241" t="s">
        <v>273</v>
      </c>
      <c r="L3" s="272" t="s">
        <v>441</v>
      </c>
      <c r="N3" s="92" t="s">
        <v>132</v>
      </c>
      <c r="O3" s="93" t="s">
        <v>523</v>
      </c>
      <c r="P3" s="93" t="s">
        <v>6</v>
      </c>
      <c r="R3" s="52" t="s">
        <v>321</v>
      </c>
      <c r="S3" s="53" t="s">
        <v>893</v>
      </c>
      <c r="T3" s="52" t="s">
        <v>908</v>
      </c>
      <c r="W3" s="50" t="str">
        <f t="array" ref="W3">IF($V$2=0,"",IFERROR(INDEX($B$3:$C$520,SMALL(IF($B$3:$B$520=$V$2,ROW($B$3:$B$520)-2),ROW(B1)),2),""))</f>
        <v>G-201</v>
      </c>
      <c r="Z3" s="50" t="str">
        <f t="array" ref="Z3">IF($Y$2=0,"",IFERROR(INDEX($E$3:$F$114,SMALL(IF($E$3:$E$114=$Y$2,ROW($E$3:$E$114)-2),ROW(E1)),2),""))</f>
        <v>Maquina 1</v>
      </c>
      <c r="AC3" s="50" t="s">
        <v>748</v>
      </c>
      <c r="AF3" s="54" t="str">
        <f t="array" ref="AF3">IF($AE$2=0,"",IFERROR(INDEX($H$3:$I$92,SMALL(IF($H$3:$H$92=$AE$2,ROW($H$3:$H$92)-2),ROW(H1)),2),""))</f>
        <v>Bolha</v>
      </c>
      <c r="AI3" s="54" t="str">
        <f t="array" ref="AI3">IF($AH$2=0,"",IFERROR(INDEX($K$3:$L$92,SMALL(IF($K$3:$K$92=$AH$2,ROW($K$3:$K$92)-2),ROW(K1)),2),""))</f>
        <v>Excesso de cola</v>
      </c>
      <c r="AL3" s="87" t="str">
        <f t="array" ref="AL3">IF($AK$2=0,"",IFERROR(INDEX($N$3:$O$499,SMALL(IF($N$3:$N$499=$AK$2,ROW($N$3:$N$499)-2),ROW(N1)),2),""))</f>
        <v>-601F</v>
      </c>
      <c r="AO3" s="55" t="str">
        <f t="array" ref="AO3">IF($AN$2=0,"",IFERROR(INDEX($S$3:$T$366,SMALL(IF($R$3:$R$366=$AN$2,ROW($R$3:$R$366)-2),ROW(T1)),2),""))</f>
        <v>Queda De Energia</v>
      </c>
      <c r="AP3" s="56" t="str">
        <f t="array" ref="AP3">IF($AN$2=0,"",IFERROR(INDEX($R$3:$S$366,SMALL(IF($R$3:$R$366=$AN$2,ROW($R$3:$R$366)-2),ROW(S1)),2),""))</f>
        <v>Parada Utilidades</v>
      </c>
      <c r="AR3" s="57" t="str">
        <f t="array" ref="AR3">IF($AN$2=0,"",IFERROR(INDEX($AO$3:$AP$62,SMALL(IF($AO$3:$AO$62=$AR$2,ROW($AO$3:$AO$62)-2),ROW(AO1)),2),""))</f>
        <v>Parada Utilidades</v>
      </c>
      <c r="AS3" s="58" t="str">
        <f t="array" ref="AS3">IF($AN$2=0,"",IFERROR(INDEX($AO$3:$AP$62,SMALL(IF($AO$3:$AO$62=$AS$2,ROW($AO$3:$AO$62)-2),ROW(AO1)),2),""))</f>
        <v/>
      </c>
      <c r="AT3" s="59" t="str">
        <f t="array" ref="AT3">IF($AN$2=0,"",IFERROR(INDEX($AO$3:$AP$62,SMALL(IF($AO$3:$AO$62=$AT$2,ROW($AO$3:$AO$62)-2),ROW(AO1)),2),""))</f>
        <v/>
      </c>
      <c r="AU3" s="60" t="str">
        <f t="array" ref="AU3">IF($AN$2=0,"",IFERROR(INDEX($AO$3:$AP$62,SMALL(IF($AO$3:$AO$62=$AU$2,ROW($AO$3:$AO$62)-2),ROW(AO1)),2),""))</f>
        <v>Ajuste Maquina</v>
      </c>
      <c r="AV3" s="61" t="str">
        <f t="array" ref="AV3">IF($AN$2=0,"",IFERROR(INDEX($AO$3:$AP$62,SMALL(IF($AO$3:$AO$62=$AV$2,ROW($AO$3:$AO$62)-2),ROW(AO1)),2),""))</f>
        <v>Ajuste Parametros</v>
      </c>
      <c r="AW3" s="62" t="str">
        <f t="array" ref="AW3">IF($AN$2=0,"",IFERROR(INDEX($AO$3:$AP$62,SMALL(IF($AO$3:$AO$62=$AW$2,ROW($AO$3:$AO$62)-2),ROW(AO1)),2),""))</f>
        <v>2S1Y</v>
      </c>
      <c r="AX3" s="63" t="str">
        <f t="array" ref="AX3">IF($AN$2=0,"",IFERROR(INDEX($AO$3:$AP$62,SMALL(IF($AO$3:$AO$62=$AX$2,ROW($AO$3:$AO$62)-2),ROW(AO1)),2),""))</f>
        <v>Falta Embalagem</v>
      </c>
      <c r="BA3" s="50" t="s">
        <v>12</v>
      </c>
      <c r="BB3" s="36"/>
      <c r="BC3" s="34"/>
      <c r="BE3" s="51" t="s">
        <v>7</v>
      </c>
    </row>
    <row r="4" spans="2:58">
      <c r="B4" s="24" t="s">
        <v>60</v>
      </c>
      <c r="C4" s="24" t="s">
        <v>27</v>
      </c>
      <c r="E4" s="85" t="s">
        <v>60</v>
      </c>
      <c r="F4" s="85" t="s">
        <v>670</v>
      </c>
      <c r="H4" s="29" t="s">
        <v>321</v>
      </c>
      <c r="I4" s="270" t="s">
        <v>448</v>
      </c>
      <c r="K4" s="241" t="s">
        <v>273</v>
      </c>
      <c r="L4" s="272" t="s">
        <v>442</v>
      </c>
      <c r="N4" s="92" t="s">
        <v>273</v>
      </c>
      <c r="O4" s="93" t="s">
        <v>604</v>
      </c>
      <c r="P4" s="93" t="s">
        <v>6</v>
      </c>
      <c r="R4" s="52" t="s">
        <v>321</v>
      </c>
      <c r="S4" s="53" t="s">
        <v>915</v>
      </c>
      <c r="T4" s="52" t="s">
        <v>908</v>
      </c>
      <c r="W4" s="50" t="str">
        <f t="array" ref="W4">IF($V$2=0,"",IFERROR(INDEX($B$3:$C$520,SMALL(IF($B$3:$B$520=$V$2,ROW($B$3:$B$520)-2),ROW(B2)),2),""))</f>
        <v>G-202</v>
      </c>
      <c r="Z4" s="50" t="str">
        <f t="array" ref="Z4">IF($Y$2=0,"",IFERROR(INDEX($E$3:$F$114,SMALL(IF($E$3:$E$114=$Y$2,ROW($E$3:$E$114)-2),ROW(E2)),2),""))</f>
        <v>Maquina 2</v>
      </c>
      <c r="AC4" s="50" t="s">
        <v>428</v>
      </c>
      <c r="AF4" s="54" t="str">
        <f t="array" ref="AF4">IF($AE$2=0,"",IFERROR(INDEX($H$3:$I$92,SMALL(IF($H$3:$H$92=$AE$2,ROW($H$3:$H$92)-2),ROW(H2)),2),""))</f>
        <v>Escape Trav. Maq</v>
      </c>
      <c r="AI4" s="54" t="str">
        <f t="array" ref="AI4">IF($AH$2=0,"",IFERROR(INDEX($K$3:$L$92,SMALL(IF($K$3:$K$92=$AH$2,ROW($K$3:$K$92)-2),ROW(K2)),2),""))</f>
        <v>Falha do furo</v>
      </c>
      <c r="AL4" s="87" t="str">
        <f t="array" ref="AL4">IF($AK$2=0,"",IFERROR(INDEX($N$3:$O$499,SMALL(IF($N$3:$N$499=$AK$2,ROW($N$3:$N$499)-2),ROW(N2)),2),""))</f>
        <v>65492-0K010</v>
      </c>
      <c r="AO4" s="55" t="str">
        <f t="array" ref="AO4">IF($AN$2=0,"",IFERROR(INDEX($S$3:$T$366,SMALL(IF($R$3:$R$366=$AN$2,ROW($R$3:$R$366)-2),ROW(T2)),2),""))</f>
        <v>Queda De Energia</v>
      </c>
      <c r="AP4" s="56" t="str">
        <f t="array" ref="AP4">IF($AN$2=0,"",IFERROR(INDEX($R$3:$S$366,SMALL(IF($R$3:$R$366=$AN$2,ROW($R$3:$R$366)-2),ROW(S2)),2),""))</f>
        <v>Curto Circuito</v>
      </c>
      <c r="AR4" s="64" t="str">
        <f t="array" ref="AR4">IF($AN$2=0,"",IFERROR(INDEX($AO$3:$AP$62,SMALL(IF($AO$3:$AO$62=$AR$2,ROW($AO$3:$AO$62)-2),ROW(AO2)),2),""))</f>
        <v>Curto Circuito</v>
      </c>
      <c r="AS4" s="65" t="str">
        <f t="array" ref="AS4">IF($AN$2=0,"",IFERROR(INDEX($AO$3:$AP$62,SMALL(IF($AO$3:$AO$62=$AS$2,ROW($AO$3:$AO$62)-2),ROW(AO2)),2),""))</f>
        <v/>
      </c>
      <c r="AT4" s="66" t="str">
        <f t="array" ref="AT4">IF($AN$2=0,"",IFERROR(INDEX($AO$3:$AP$62,SMALL(IF($AO$3:$AO$62=$AT$2,ROW($AO$3:$AO$62)-2),ROW(AO2)),2),""))</f>
        <v/>
      </c>
      <c r="AU4" s="67" t="str">
        <f t="array" ref="AU4">IF($AN$2=0,"",IFERROR(INDEX($AO$3:$AP$62,SMALL(IF($AO$3:$AO$62=$AU$2,ROW($AO$3:$AO$62)-2),ROW(AO2)),2),""))</f>
        <v>Troca Pecas</v>
      </c>
      <c r="AV4" s="68" t="str">
        <f t="array" ref="AV4">IF($AN$2=0,"",IFERROR(INDEX($AO$3:$AP$62,SMALL(IF($AO$3:$AO$62=$AV$2,ROW($AO$3:$AO$62)-2),ROW(AO2)),2),""))</f>
        <v>Troca Facas</v>
      </c>
      <c r="AW4" s="69" t="str">
        <f t="array" ref="AW4">IF($AN$2=0,"",IFERROR(INDEX($AO$3:$AP$62,SMALL(IF($AO$3:$AO$62=$AW$2,ROW($AO$3:$AO$62)-2),ROW(AO2)),2),""))</f>
        <v>Senbetsu</v>
      </c>
      <c r="AX4" s="70" t="str">
        <f t="array" ref="AX4">IF($AN$2=0,"",IFERROR(INDEX($AO$3:$AP$62,SMALL(IF($AO$3:$AO$62=$AX$2,ROW($AO$3:$AO$62)-2),ROW(AO2)),2),""))</f>
        <v>Falta Materia Prima</v>
      </c>
      <c r="BA4" s="50" t="s">
        <v>13</v>
      </c>
      <c r="BC4" s="34"/>
      <c r="BE4" s="51" t="s">
        <v>8</v>
      </c>
    </row>
    <row r="5" spans="2:58">
      <c r="B5" s="24" t="s">
        <v>60</v>
      </c>
      <c r="C5" s="24" t="s">
        <v>28</v>
      </c>
      <c r="E5" s="85" t="s">
        <v>60</v>
      </c>
      <c r="F5" s="85" t="s">
        <v>671</v>
      </c>
      <c r="H5" s="29" t="s">
        <v>321</v>
      </c>
      <c r="I5" s="270" t="s">
        <v>449</v>
      </c>
      <c r="K5" s="241" t="s">
        <v>273</v>
      </c>
      <c r="L5" s="272" t="s">
        <v>443</v>
      </c>
      <c r="N5" s="92" t="s">
        <v>273</v>
      </c>
      <c r="O5" s="92" t="s">
        <v>586</v>
      </c>
      <c r="P5" s="93" t="s">
        <v>6</v>
      </c>
      <c r="R5" s="52" t="s">
        <v>321</v>
      </c>
      <c r="S5" s="53" t="s">
        <v>916</v>
      </c>
      <c r="T5" s="52" t="s">
        <v>908</v>
      </c>
      <c r="W5" s="50" t="str">
        <f t="array" ref="W5">IF($V$2=0,"",IFERROR(INDEX($B$3:$C$520,SMALL(IF($B$3:$B$520=$V$2,ROW($B$3:$B$520)-2),ROW(B3)),2),""))</f>
        <v>G-203</v>
      </c>
      <c r="Z5" s="50" t="str">
        <f t="array" ref="Z5">IF($Y$2=0,"",IFERROR(INDEX($E$3:$F$114,SMALL(IF($E$3:$E$114=$Y$2,ROW($E$3:$E$114)-2),ROW(E3)),2),""))</f>
        <v>Maquina 3</v>
      </c>
      <c r="AC5" s="50" t="s">
        <v>749</v>
      </c>
      <c r="AF5" s="54" t="str">
        <f t="array" ref="AF5">IF($AE$2=0,"",IFERROR(INDEX($H$3:$I$92,SMALL(IF($H$3:$H$92=$AE$2,ROW($H$3:$H$92)-2),ROW(H3)),2),""))</f>
        <v>Excesso de cola</v>
      </c>
      <c r="AI5" s="54" t="str">
        <f t="array" ref="AI5">IF($AH$2=0,"",IFERROR(INDEX($K$3:$L$92,SMALL(IF($K$3:$K$92=$AH$2,ROW($K$3:$K$92)-2),ROW(K3)),2),""))</f>
        <v>Falta de clip</v>
      </c>
      <c r="AL5" s="87" t="str">
        <f t="array" ref="AL5">IF($AK$2=0,"",IFERROR(INDEX($N$3:$O$499,SMALL(IF($N$3:$N$499=$AK$2,ROW($N$3:$N$499)-2),ROW(N3)),2),""))</f>
        <v>67867-12140</v>
      </c>
      <c r="AO5" s="55" t="str">
        <f t="array" ref="AO5">IF($AN$2=0,"",IFERROR(INDEX($S$3:$T$366,SMALL(IF($R$3:$R$366=$AN$2,ROW($R$3:$R$366)-2),ROW(T3)),2),""))</f>
        <v>Queda De Energia</v>
      </c>
      <c r="AP5" s="56" t="str">
        <f t="array" ref="AP5">IF($AN$2=0,"",IFERROR(INDEX($R$3:$S$366,SMALL(IF($R$3:$R$366=$AN$2,ROW($R$3:$R$366)-2),ROW(S3)),2),""))</f>
        <v>Falhas Equipamentos</v>
      </c>
      <c r="AR5" s="64" t="str">
        <f t="array" ref="AR5">IF($AN$2=0,"",IFERROR(INDEX($AO$3:$AP$62,SMALL(IF($AO$3:$AO$62=$AR$2,ROW($AO$3:$AO$62)-2),ROW(AO3)),2),""))</f>
        <v>Falhas Equipamentos</v>
      </c>
      <c r="AS5" s="65" t="str">
        <f t="array" ref="AS5">IF($AN$2=0,"",IFERROR(INDEX($AO$3:$AP$62,SMALL(IF($AO$3:$AO$62=$AS$2,ROW($AO$3:$AO$62)-2),ROW(AO3)),2),""))</f>
        <v/>
      </c>
      <c r="AT5" s="66" t="str">
        <f t="array" ref="AT5">IF($AN$2=0,"",IFERROR(INDEX($AO$3:$AP$62,SMALL(IF($AO$3:$AO$62=$AT$2,ROW($AO$3:$AO$62)-2),ROW(AO3)),2),""))</f>
        <v/>
      </c>
      <c r="AU5" s="67" t="str">
        <f t="array" ref="AU5">IF($AN$2=0,"",IFERROR(INDEX($AO$3:$AP$62,SMALL(IF($AO$3:$AO$62=$AU$2,ROW($AO$3:$AO$62)-2),ROW(AO3)),2),""))</f>
        <v>Usinagem Pecas</v>
      </c>
      <c r="AV5" s="68" t="str">
        <f t="array" ref="AV5">IF($AN$2=0,"",IFERROR(INDEX($AO$3:$AP$62,SMALL(IF($AO$3:$AO$62=$AV$2,ROW($AO$3:$AO$62)-2),ROW(AO3)),2),""))</f>
        <v>Troca Brocas</v>
      </c>
      <c r="AW5" s="69" t="str">
        <f t="array" ref="AW5">IF($AN$2=0,"",IFERROR(INDEX($AO$3:$AP$62,SMALL(IF($AO$3:$AO$62=$AW$2,ROW($AO$3:$AO$62)-2),ROW(AO3)),2),""))</f>
        <v>Reuniao</v>
      </c>
      <c r="AX5" s="70" t="str">
        <f t="array" ref="AX5">IF($AN$2=0,"",IFERROR(INDEX($AO$3:$AP$62,SMALL(IF($AO$3:$AO$62=$AX$2,ROW($AO$3:$AO$62)-2),ROW(AO3)),2),""))</f>
        <v>Falta Componente</v>
      </c>
    </row>
    <row r="6" spans="2:58">
      <c r="B6" s="24" t="s">
        <v>60</v>
      </c>
      <c r="C6" s="24" t="s">
        <v>29</v>
      </c>
      <c r="E6" s="85" t="s">
        <v>60</v>
      </c>
      <c r="F6" s="85" t="s">
        <v>672</v>
      </c>
      <c r="H6" s="29" t="s">
        <v>321</v>
      </c>
      <c r="I6" s="270" t="s">
        <v>1102</v>
      </c>
      <c r="K6" s="241" t="s">
        <v>273</v>
      </c>
      <c r="L6" s="272" t="s">
        <v>206</v>
      </c>
      <c r="N6" s="92" t="s">
        <v>273</v>
      </c>
      <c r="O6" s="92" t="s">
        <v>585</v>
      </c>
      <c r="P6" s="93" t="s">
        <v>6</v>
      </c>
      <c r="R6" s="52" t="s">
        <v>321</v>
      </c>
      <c r="S6" s="53" t="s">
        <v>917</v>
      </c>
      <c r="T6" s="52" t="s">
        <v>908</v>
      </c>
      <c r="W6" s="50" t="str">
        <f t="array" ref="W6">IF($V$2=0,"",IFERROR(INDEX($B$3:$C$520,SMALL(IF($B$3:$B$520=$V$2,ROW($B$3:$B$520)-2),ROW(B4)),2),""))</f>
        <v>G-204</v>
      </c>
      <c r="Z6" s="50" t="str">
        <f t="array" ref="Z6">IF($Y$2=0,"",IFERROR(INDEX($E$3:$F$114,SMALL(IF($E$3:$E$114=$Y$2,ROW($E$3:$E$114)-2),ROW(E4)),2),""))</f>
        <v>Maquina 4</v>
      </c>
      <c r="AC6" s="71"/>
      <c r="AF6" s="54" t="str">
        <f t="array" ref="AF6">IF($AE$2=0,"",IFERROR(INDEX($H$3:$I$92,SMALL(IF($H$3:$H$92=$AE$2,ROW($H$3:$H$92)-2),ROW(H4)),2),""))</f>
        <v>Falha do furo</v>
      </c>
      <c r="AI6" s="54" t="str">
        <f t="array" ref="AI6">IF($AH$2=0,"",IFERROR(INDEX($K$3:$L$92,SMALL(IF($K$3:$K$92=$AH$2,ROW($K$3:$K$92)-2),ROW(K4)),2),""))</f>
        <v>Falta de cola</v>
      </c>
      <c r="AL6" s="87" t="str">
        <f t="array" ref="AL6">IF($AK$2=0,"",IFERROR(INDEX($N$3:$O$499,SMALL(IF($N$3:$N$499=$AK$2,ROW($N$3:$N$499)-2),ROW(N4)),2),""))</f>
        <v>67867-12150</v>
      </c>
      <c r="AO6" s="55" t="str">
        <f t="array" ref="AO6">IF($AN$2=0,"",IFERROR(INDEX($S$3:$T$366,SMALL(IF($R$3:$R$366=$AN$2,ROW($R$3:$R$366)-2),ROW(T4)),2),""))</f>
        <v>Queda De Energia</v>
      </c>
      <c r="AP6" s="56" t="str">
        <f t="array" ref="AP6">IF($AN$2=0,"",IFERROR(INDEX($R$3:$S$366,SMALL(IF($R$3:$R$366=$AN$2,ROW($R$3:$R$366)-2),ROW(S4)),2),""))</f>
        <v>Falta Ar Comprimido</v>
      </c>
      <c r="AR6" s="64" t="str">
        <f t="array" ref="AR6">IF($AN$2=0,"",IFERROR(INDEX($AO$3:$AP$62,SMALL(IF($AO$3:$AO$62=$AR$2,ROW($AO$3:$AO$62)-2),ROW(AO4)),2),""))</f>
        <v>Falta Ar Comprimido</v>
      </c>
      <c r="AS6" s="65" t="str">
        <f t="array" ref="AS6">IF($AN$2=0,"",IFERROR(INDEX($AO$3:$AP$62,SMALL(IF($AO$3:$AO$62=$AS$2,ROW($AO$3:$AO$62)-2),ROW(AO4)),2),""))</f>
        <v/>
      </c>
      <c r="AT6" s="66" t="str">
        <f t="array" ref="AT6">IF($AN$2=0,"",IFERROR(INDEX($AO$3:$AP$62,SMALL(IF($AO$3:$AO$62=$AT$2,ROW($AO$3:$AO$62)-2),ROW(AO4)),2),""))</f>
        <v/>
      </c>
      <c r="AU6" s="67" t="str">
        <f t="array" ref="AU6">IF($AN$2=0,"",IFERROR(INDEX($AO$3:$AP$62,SMALL(IF($AO$3:$AO$62=$AU$2,ROW($AO$3:$AO$62)-2),ROW(AO4)),2),""))</f>
        <v>Soldagem Pecas</v>
      </c>
      <c r="AV6" s="68" t="str">
        <f t="array" ref="AV6">IF($AN$2=0,"",IFERROR(INDEX($AO$3:$AP$62,SMALL(IF($AO$3:$AO$62=$AV$2,ROW($AO$3:$AO$62)-2),ROW(AO4)),2),""))</f>
        <v>Limpeza Maquina</v>
      </c>
      <c r="AW6" s="69" t="str">
        <f t="array" ref="AW6">IF($AN$2=0,"",IFERROR(INDEX($AO$3:$AP$62,SMALL(IF($AO$3:$AO$62=$AW$2,ROW($AO$3:$AO$62)-2),ROW(AO4)),2),""))</f>
        <v>Falta Colaborador</v>
      </c>
      <c r="AX6" s="70" t="str">
        <f t="array" ref="AX6">IF($AN$2=0,"",IFERROR(INDEX($AO$3:$AP$62,SMALL(IF($AO$3:$AO$62=$AX$2,ROW($AO$3:$AO$62)-2),ROW(AO4)),2),""))</f>
        <v>Problema MP</v>
      </c>
    </row>
    <row r="7" spans="2:58">
      <c r="B7" s="24" t="s">
        <v>60</v>
      </c>
      <c r="C7" s="24" t="s">
        <v>30</v>
      </c>
      <c r="E7" s="85" t="s">
        <v>60</v>
      </c>
      <c r="F7" s="85" t="s">
        <v>673</v>
      </c>
      <c r="H7" s="29" t="s">
        <v>321</v>
      </c>
      <c r="I7" s="270" t="s">
        <v>1064</v>
      </c>
      <c r="K7" s="241" t="s">
        <v>273</v>
      </c>
      <c r="L7" s="272" t="s">
        <v>444</v>
      </c>
      <c r="N7" s="92" t="s">
        <v>60</v>
      </c>
      <c r="O7" s="92" t="s">
        <v>555</v>
      </c>
      <c r="P7" s="93" t="s">
        <v>1057</v>
      </c>
      <c r="R7" s="52" t="s">
        <v>321</v>
      </c>
      <c r="S7" s="53" t="s">
        <v>918</v>
      </c>
      <c r="T7" s="52" t="s">
        <v>908</v>
      </c>
      <c r="W7" s="50" t="str">
        <f t="array" ref="W7">IF($V$2=0,"",IFERROR(INDEX($B$3:$C$520,SMALL(IF($B$3:$B$520=$V$2,ROW($B$3:$B$520)-2),ROW(B5)),2),""))</f>
        <v>G-205</v>
      </c>
      <c r="Z7" s="50" t="str">
        <f t="array" ref="Z7">IF($Y$2=0,"",IFERROR(INDEX($E$3:$F$114,SMALL(IF($E$3:$E$114=$Y$2,ROW($E$3:$E$114)-2),ROW(E5)),2),""))</f>
        <v>Maquina 5</v>
      </c>
      <c r="AC7" s="71"/>
      <c r="AF7" s="54" t="str">
        <f t="array" ref="AF7">IF($AE$2=0,"",IFERROR(INDEX($H$3:$I$92,SMALL(IF($H$3:$H$92=$AE$2,ROW($H$3:$H$92)-2),ROW(H5)),2),""))</f>
        <v>Falha no sensor de emenda</v>
      </c>
      <c r="AI7" s="54" t="str">
        <f t="array" ref="AI7">IF($AH$2=0,"",IFERROR(INDEX($K$3:$L$92,SMALL(IF($K$3:$K$92=$AH$2,ROW($K$3:$K$92)-2),ROW(K5)),2),""))</f>
        <v>Perfil rasgado</v>
      </c>
      <c r="AL7" s="87" t="str">
        <f t="array" ref="AL7">IF($AK$2=0,"",IFERROR(INDEX($N$3:$O$499,SMALL(IF($N$3:$N$499=$AK$2,ROW($N$3:$N$499)-2),ROW(N5)),2),""))</f>
        <v>67867-12160</v>
      </c>
      <c r="AO7" s="55" t="str">
        <f t="array" ref="AO7">IF($AN$2=0,"",IFERROR(INDEX($S$3:$T$366,SMALL(IF($R$3:$R$366=$AN$2,ROW($R$3:$R$366)-2),ROW(T5)),2),""))</f>
        <v>Queda De Energia</v>
      </c>
      <c r="AP7" s="56" t="str">
        <f t="array" ref="AP7">IF($AN$2=0,"",IFERROR(INDEX($R$3:$S$366,SMALL(IF($R$3:$R$366=$AN$2,ROW($R$3:$R$366)-2),ROW(S5)),2),""))</f>
        <v>Falta Energia</v>
      </c>
      <c r="AR7" s="64" t="str">
        <f t="array" ref="AR7">IF($AN$2=0,"",IFERROR(INDEX($AO$3:$AP$62,SMALL(IF($AO$3:$AO$62=$AR$2,ROW($AO$3:$AO$62)-2),ROW(AO5)),2),""))</f>
        <v>Falta Energia</v>
      </c>
      <c r="AS7" s="65" t="str">
        <f t="array" ref="AS7">IF($AN$2=0,"",IFERROR(INDEX($AO$3:$AP$62,SMALL(IF($AO$3:$AO$62=$AS$2,ROW($AO$3:$AO$62)-2),ROW(AO5)),2),""))</f>
        <v/>
      </c>
      <c r="AT7" s="66" t="str">
        <f t="array" ref="AT7">IF($AN$2=0,"",IFERROR(INDEX($AO$3:$AP$62,SMALL(IF($AO$3:$AO$62=$AT$2,ROW($AO$3:$AO$62)-2),ROW(AO5)),2),""))</f>
        <v/>
      </c>
      <c r="AU7" s="67" t="str">
        <f t="array" ref="AU7">IF($AN$2=0,"",IFERROR(INDEX($AO$3:$AP$62,SMALL(IF($AO$3:$AO$62=$AU$2,ROW($AO$3:$AO$62)-2),ROW(AO5)),2),""))</f>
        <v>Suporte Producao</v>
      </c>
      <c r="AV7" s="68" t="str">
        <f t="array" ref="AV7">IF($AN$2=0,"",IFERROR(INDEX($AO$3:$AP$62,SMALL(IF($AO$3:$AO$62=$AV$2,ROW($AO$3:$AO$62)-2),ROW(AO5)),2),""))</f>
        <v>Reg Ar Comprimido</v>
      </c>
      <c r="AW7" s="69" t="str">
        <f t="array" ref="AW7">IF($AN$2=0,"",IFERROR(INDEX($AO$3:$AP$62,SMALL(IF($AO$3:$AO$62=$AW$2,ROW($AO$3:$AO$62)-2),ROW(AO5)),2),""))</f>
        <v/>
      </c>
      <c r="AX7" s="70" t="str">
        <f t="array" ref="AX7">IF($AN$2=0,"",IFERROR(INDEX($AO$3:$AP$62,SMALL(IF($AO$3:$AO$62=$AX$2,ROW($AO$3:$AO$62)-2),ROW(AO5)),2),""))</f>
        <v>Falta Carrinho</v>
      </c>
    </row>
    <row r="8" spans="2:58">
      <c r="B8" s="24" t="s">
        <v>60</v>
      </c>
      <c r="C8" s="24" t="s">
        <v>31</v>
      </c>
      <c r="E8" s="85" t="s">
        <v>60</v>
      </c>
      <c r="F8" s="85" t="s">
        <v>674</v>
      </c>
      <c r="H8" s="29" t="s">
        <v>321</v>
      </c>
      <c r="I8" s="270" t="s">
        <v>1103</v>
      </c>
      <c r="K8" s="241" t="s">
        <v>273</v>
      </c>
      <c r="L8" s="272" t="s">
        <v>1078</v>
      </c>
      <c r="N8" s="92" t="s">
        <v>273</v>
      </c>
      <c r="O8" s="92" t="s">
        <v>593</v>
      </c>
      <c r="P8" s="93" t="s">
        <v>6</v>
      </c>
      <c r="R8" s="52" t="s">
        <v>321</v>
      </c>
      <c r="S8" s="53" t="s">
        <v>919</v>
      </c>
      <c r="T8" s="52" t="s">
        <v>908</v>
      </c>
      <c r="W8" s="50" t="str">
        <f t="array" ref="W8">IF($V$2=0,"",IFERROR(INDEX($B$3:$C$520,SMALL(IF($B$3:$B$520=$V$2,ROW($B$3:$B$520)-2),ROW(B6)),2),""))</f>
        <v>G-206</v>
      </c>
      <c r="Z8" s="50" t="str">
        <f t="array" ref="Z8">IF($Y$2=0,"",IFERROR(INDEX($E$3:$F$114,SMALL(IF($E$3:$E$114=$Y$2,ROW($E$3:$E$114)-2),ROW(E6)),2),""))</f>
        <v>Maquina 6</v>
      </c>
      <c r="AC8" s="71"/>
      <c r="AF8" s="54" t="str">
        <f t="array" ref="AF8">IF($AE$2=0,"",IFERROR(INDEX($H$3:$I$92,SMALL(IF($H$3:$H$92=$AE$2,ROW($H$3:$H$92)-2),ROW(H6)),2),""))</f>
        <v>Falta de clip</v>
      </c>
      <c r="AI8" s="54" t="str">
        <f t="array" ref="AI8">IF($AH$2=0,"",IFERROR(INDEX($K$3:$L$92,SMALL(IF($K$3:$K$92=$AH$2,ROW($K$3:$K$92)-2),ROW(K6)),2),""))</f>
        <v/>
      </c>
      <c r="AL8" s="87" t="str">
        <f t="array" ref="AL8">IF($AK$2=0,"",IFERROR(INDEX($N$3:$O$499,SMALL(IF($N$3:$N$499=$AK$2,ROW($N$3:$N$499)-2),ROW(N6)),2),""))</f>
        <v>67867-52010</v>
      </c>
      <c r="AO8" s="55" t="str">
        <f t="array" ref="AO8">IF($AN$2=0,"",IFERROR(INDEX($S$3:$T$366,SMALL(IF($R$3:$R$366=$AN$2,ROW($R$3:$R$366)-2),ROW(T6)),2),""))</f>
        <v>Maquinas e Equip.</v>
      </c>
      <c r="AP8" s="56" t="str">
        <f t="array" ref="AP8">IF($AN$2=0,"",IFERROR(INDEX($R$3:$S$366,SMALL(IF($R$3:$R$366=$AN$2,ROW($R$3:$R$366)-2),ROW(S6)),2),""))</f>
        <v>Ajuste Maquina</v>
      </c>
      <c r="AR8" s="64" t="str">
        <f t="array" ref="AR8">IF($AN$2=0,"",IFERROR(INDEX($AO$3:$AP$62,SMALL(IF($AO$3:$AO$62=$AR$2,ROW($AO$3:$AO$62)-2),ROW(AO6)),2),""))</f>
        <v/>
      </c>
      <c r="AS8" s="65" t="str">
        <f t="array" ref="AS8">IF($AN$2=0,"",IFERROR(INDEX($AO$3:$AP$62,SMALL(IF($AO$3:$AO$62=$AS$2,ROW($AO$3:$AO$62)-2),ROW(AO6)),2),""))</f>
        <v/>
      </c>
      <c r="AT8" s="66" t="str">
        <f t="array" ref="AT8">IF($AN$2=0,"",IFERROR(INDEX($AO$3:$AP$62,SMALL(IF($AO$3:$AO$62=$AT$2,ROW($AO$3:$AO$62)-2),ROW(AO6)),2),""))</f>
        <v/>
      </c>
      <c r="AU8" s="67" t="str">
        <f t="array" ref="AU8">IF($AN$2=0,"",IFERROR(INDEX($AO$3:$AP$62,SMALL(IF($AO$3:$AO$62=$AU$2,ROW($AO$3:$AO$62)-2),ROW(AO6)),2),""))</f>
        <v>Erro Operacional</v>
      </c>
      <c r="AV8" s="68" t="str">
        <f t="array" ref="AV8">IF($AN$2=0,"",IFERROR(INDEX($AO$3:$AP$62,SMALL(IF($AO$3:$AO$62=$AV$2,ROW($AO$3:$AO$62)-2),ROW(AO6)),2),""))</f>
        <v>Negligencia IT</v>
      </c>
      <c r="AW8" s="69" t="str">
        <f t="array" ref="AW8">IF($AN$2=0,"",IFERROR(INDEX($AO$3:$AP$62,SMALL(IF($AO$3:$AO$62=$AW$2,ROW($AO$3:$AO$62)-2),ROW(AO6)),2),""))</f>
        <v/>
      </c>
      <c r="AX8" s="70" t="str">
        <f t="array" ref="AX8">IF($AN$2=0,"",IFERROR(INDEX($AO$3:$AP$62,SMALL(IF($AO$3:$AO$62=$AX$2,ROW($AO$3:$AO$62)-2),ROW(AO6)),2),""))</f>
        <v>Falta Peca Proc Anterior</v>
      </c>
    </row>
    <row r="9" spans="2:58">
      <c r="B9" s="24" t="s">
        <v>60</v>
      </c>
      <c r="C9" s="24" t="s">
        <v>32</v>
      </c>
      <c r="E9" s="85" t="s">
        <v>60</v>
      </c>
      <c r="F9" s="85" t="s">
        <v>43</v>
      </c>
      <c r="H9" s="29" t="s">
        <v>321</v>
      </c>
      <c r="I9" s="270" t="s">
        <v>455</v>
      </c>
      <c r="K9" s="241" t="s">
        <v>273</v>
      </c>
      <c r="L9" s="272" t="s">
        <v>445</v>
      </c>
      <c r="N9" s="92" t="s">
        <v>273</v>
      </c>
      <c r="O9" s="92" t="s">
        <v>594</v>
      </c>
      <c r="P9" s="93" t="s">
        <v>6</v>
      </c>
      <c r="R9" s="52" t="s">
        <v>321</v>
      </c>
      <c r="S9" s="53" t="s">
        <v>920</v>
      </c>
      <c r="T9" s="52" t="s">
        <v>908</v>
      </c>
      <c r="W9" s="50" t="str">
        <f t="array" ref="W9">IF($V$2=0,"",IFERROR(INDEX($B$3:$C$520,SMALL(IF($B$3:$B$520=$V$2,ROW($B$3:$B$520)-2),ROW(B7)),2),""))</f>
        <v>G-209</v>
      </c>
      <c r="Z9" s="50" t="str">
        <f t="array" ref="Z9">IF($Y$2=0,"",IFERROR(INDEX($E$3:$F$114,SMALL(IF($E$3:$E$114=$Y$2,ROW($E$3:$E$114)-2),ROW(E7)),2),""))</f>
        <v>Maquina 7</v>
      </c>
      <c r="AC9" s="71"/>
      <c r="AF9" s="54" t="str">
        <f t="array" ref="AF9">IF($AE$2=0,"",IFERROR(INDEX($H$3:$I$92,SMALL(IF($H$3:$H$92=$AE$2,ROW($H$3:$H$92)-2),ROW(H7)),2),""))</f>
        <v>Falta de cola</v>
      </c>
      <c r="AI9" s="54" t="str">
        <f t="array" ref="AI9">IF($AH$2=0,"",IFERROR(INDEX($K$3:$L$92,SMALL(IF($K$3:$K$92=$AH$2,ROW($K$3:$K$92)-2),ROW(K7)),2),""))</f>
        <v/>
      </c>
      <c r="AL9" s="87" t="str">
        <f t="array" ref="AL9">IF($AK$2=0,"",IFERROR(INDEX($N$3:$O$499,SMALL(IF($N$3:$N$499=$AK$2,ROW($N$3:$N$499)-2),ROW(N7)),2),""))</f>
        <v>67867-52020</v>
      </c>
      <c r="AO9" s="55" t="str">
        <f t="array" ref="AO9">IF($AN$2=0,"",IFERROR(INDEX($S$3:$T$366,SMALL(IF($R$3:$R$366=$AN$2,ROW($R$3:$R$366)-2),ROW(T7)),2),""))</f>
        <v>Maquinas e Equip.</v>
      </c>
      <c r="AP9" s="56" t="str">
        <f t="array" ref="AP9">IF($AN$2=0,"",IFERROR(INDEX($R$3:$S$366,SMALL(IF($R$3:$R$366=$AN$2,ROW($R$3:$R$366)-2),ROW(S7)),2),""))</f>
        <v>Troca Pecas</v>
      </c>
      <c r="AR9" s="64" t="str">
        <f t="array" ref="AR9">IF($AN$2=0,"",IFERROR(INDEX($AO$3:$AP$62,SMALL(IF($AO$3:$AO$62=$AR$2,ROW($AO$3:$AO$62)-2),ROW(AO7)),2),""))</f>
        <v/>
      </c>
      <c r="AS9" s="65" t="str">
        <f t="array" ref="AS9">IF($AN$2=0,"",IFERROR(INDEX($AO$3:$AP$62,SMALL(IF($AO$3:$AO$62=$AS$2,ROW($AO$3:$AO$62)-2),ROW(AO7)),2),""))</f>
        <v/>
      </c>
      <c r="AT9" s="66" t="str">
        <f t="array" ref="AT9">IF($AN$2=0,"",IFERROR(INDEX($AO$3:$AP$62,SMALL(IF($AO$3:$AO$62=$AT$2,ROW($AO$3:$AO$62)-2),ROW(AO7)),2),""))</f>
        <v/>
      </c>
      <c r="AU9" s="67" t="str">
        <f t="array" ref="AU9">IF($AN$2=0,"",IFERROR(INDEX($AO$3:$AP$62,SMALL(IF($AO$3:$AO$62=$AU$2,ROW($AO$3:$AO$62)-2),ROW(AO7)),2),""))</f>
        <v>Quebra Componentes</v>
      </c>
      <c r="AV9" s="68" t="str">
        <f t="array" ref="AV9">IF($AN$2=0,"",IFERROR(INDEX($AO$3:$AP$62,SMALL(IF($AO$3:$AO$62=$AV$2,ROW($AO$3:$AO$62)-2),ROW(AO7)),2),""))</f>
        <v/>
      </c>
      <c r="AW9" s="69" t="str">
        <f t="array" ref="AW9">IF($AN$2=0,"",IFERROR(INDEX($AO$3:$AP$62,SMALL(IF($AO$3:$AO$62=$AW$2,ROW($AO$3:$AO$62)-2),ROW(AO7)),2),""))</f>
        <v/>
      </c>
      <c r="AX9" s="70" t="str">
        <f t="array" ref="AX9">IF($AN$2=0,"",IFERROR(INDEX($AO$3:$AP$62,SMALL(IF($AO$3:$AO$62=$AX$2,ROW($AO$3:$AO$62)-2),ROW(AO7)),2),""))</f>
        <v/>
      </c>
    </row>
    <row r="10" spans="2:58">
      <c r="B10" s="24" t="s">
        <v>60</v>
      </c>
      <c r="C10" s="24" t="s">
        <v>33</v>
      </c>
      <c r="E10" s="85" t="s">
        <v>60</v>
      </c>
      <c r="F10" s="85" t="s">
        <v>44</v>
      </c>
      <c r="H10" s="29" t="s">
        <v>321</v>
      </c>
      <c r="I10" s="270" t="s">
        <v>456</v>
      </c>
      <c r="K10" s="241" t="s">
        <v>273</v>
      </c>
      <c r="L10" s="272" t="s">
        <v>446</v>
      </c>
      <c r="N10" s="92" t="s">
        <v>273</v>
      </c>
      <c r="O10" s="92">
        <v>30000470</v>
      </c>
      <c r="P10" s="93" t="s">
        <v>6</v>
      </c>
      <c r="R10" s="52" t="s">
        <v>321</v>
      </c>
      <c r="S10" s="53" t="s">
        <v>921</v>
      </c>
      <c r="T10" s="52" t="s">
        <v>908</v>
      </c>
      <c r="W10" s="50" t="str">
        <f t="array" ref="W10">IF($V$2=0,"",IFERROR(INDEX($B$3:$C$520,SMALL(IF($B$3:$B$520=$V$2,ROW($B$3:$B$520)-2),ROW(B8)),2),""))</f>
        <v>G-220</v>
      </c>
      <c r="Z10" s="50" t="str">
        <f t="array" ref="Z10">IF($Y$2=0,"",IFERROR(INDEX($E$3:$F$114,SMALL(IF($E$3:$E$114=$Y$2,ROW($E$3:$E$114)-2),ROW(E8)),2),""))</f>
        <v>Mesa PAD RH</v>
      </c>
      <c r="AC10" s="71"/>
      <c r="AF10" s="54" t="str">
        <f t="array" ref="AF10">IF($AE$2=0,"",IFERROR(INDEX($H$3:$I$92,SMALL(IF($H$3:$H$92=$AE$2,ROW($H$3:$H$92)-2),ROW(H8)),2),""))</f>
        <v>Perfil rasgado</v>
      </c>
      <c r="AI10" s="54" t="str">
        <f t="array" ref="AI10">IF($AH$2=0,"",IFERROR(INDEX($K$3:$L$92,SMALL(IF($K$3:$K$92=$AH$2,ROW($K$3:$K$92)-2),ROW(K8)),2),""))</f>
        <v/>
      </c>
      <c r="AL10" s="87" t="str">
        <f t="array" ref="AL10">IF($AK$2=0,"",IFERROR(INDEX($N$3:$O$499,SMALL(IF($N$3:$N$499=$AK$2,ROW($N$3:$N$499)-2),ROW(N8)),2),""))</f>
        <v>67867-52030</v>
      </c>
      <c r="AO10" s="55" t="str">
        <f t="array" ref="AO10">IF($AN$2=0,"",IFERROR(INDEX($S$3:$T$366,SMALL(IF($R$3:$R$366=$AN$2,ROW($R$3:$R$366)-2),ROW(T8)),2),""))</f>
        <v>Maquinas e Equip.</v>
      </c>
      <c r="AP10" s="56" t="str">
        <f t="array" ref="AP10">IF($AN$2=0,"",IFERROR(INDEX($R$3:$S$366,SMALL(IF($R$3:$R$366=$AN$2,ROW($R$3:$R$366)-2),ROW(S8)),2),""))</f>
        <v>Usinagem Pecas</v>
      </c>
      <c r="AR10" s="64" t="str">
        <f t="array" ref="AR10">IF($AN$2=0,"",IFERROR(INDEX($AO$3:$AP$62,SMALL(IF($AO$3:$AO$62=$AR$2,ROW($AO$3:$AO$62)-2),ROW(AO8)),2),""))</f>
        <v/>
      </c>
      <c r="AS10" s="65" t="str">
        <f t="array" ref="AS10">IF($AN$2=0,"",IFERROR(INDEX($AO$3:$AP$62,SMALL(IF($AO$3:$AO$62=$AS$2,ROW($AO$3:$AO$62)-2),ROW(AO8)),2),""))</f>
        <v/>
      </c>
      <c r="AT10" s="66" t="str">
        <f t="array" ref="AT10">IF($AN$2=0,"",IFERROR(INDEX($AO$3:$AP$62,SMALL(IF($AO$3:$AO$62=$AT$2,ROW($AO$3:$AO$62)-2),ROW(AO8)),2),""))</f>
        <v/>
      </c>
      <c r="AU10" s="67" t="str">
        <f t="array" ref="AU10">IF($AN$2=0,"",IFERROR(INDEX($AO$3:$AP$62,SMALL(IF($AO$3:$AO$62=$AU$2,ROW($AO$3:$AO$62)-2),ROW(AO8)),2),""))</f>
        <v>Falha Utilidades</v>
      </c>
      <c r="AV10" s="68" t="str">
        <f t="array" ref="AV10">IF($AN$2=0,"",IFERROR(INDEX($AO$3:$AP$62,SMALL(IF($AO$3:$AO$62=$AV$2,ROW($AO$3:$AO$62)-2),ROW(AO8)),2),""))</f>
        <v/>
      </c>
      <c r="AW10" s="69" t="str">
        <f t="array" ref="AW10">IF($AN$2=0,"",IFERROR(INDEX($AO$3:$AP$62,SMALL(IF($AO$3:$AO$62=$AW$2,ROW($AO$3:$AO$62)-2),ROW(AO8)),2),""))</f>
        <v/>
      </c>
      <c r="AX10" s="70" t="str">
        <f t="array" ref="AX10">IF($AN$2=0,"",IFERROR(INDEX($AO$3:$AP$62,SMALL(IF($AO$3:$AO$62=$AX$2,ROW($AO$3:$AO$62)-2),ROW(AO8)),2),""))</f>
        <v/>
      </c>
    </row>
    <row r="11" spans="2:58">
      <c r="B11" s="24" t="s">
        <v>60</v>
      </c>
      <c r="C11" s="24" t="s">
        <v>34</v>
      </c>
      <c r="E11" s="85" t="s">
        <v>60</v>
      </c>
      <c r="F11" s="85" t="s">
        <v>705</v>
      </c>
      <c r="H11" s="29" t="s">
        <v>321</v>
      </c>
      <c r="I11" s="270" t="s">
        <v>450</v>
      </c>
      <c r="K11" s="241" t="s">
        <v>273</v>
      </c>
      <c r="L11" s="272" t="s">
        <v>1079</v>
      </c>
      <c r="N11" s="92" t="s">
        <v>273</v>
      </c>
      <c r="O11" s="92" t="s">
        <v>595</v>
      </c>
      <c r="P11" s="93" t="s">
        <v>6</v>
      </c>
      <c r="R11" s="52" t="s">
        <v>321</v>
      </c>
      <c r="S11" s="53" t="s">
        <v>893</v>
      </c>
      <c r="T11" s="52" t="s">
        <v>909</v>
      </c>
      <c r="W11" s="50" t="str">
        <f t="array" ref="W11">IF($V$2=0,"",IFERROR(INDEX($B$3:$C$520,SMALL(IF($B$3:$B$520=$V$2,ROW($B$3:$B$520)-2),ROW(B9)),2),""))</f>
        <v>G-221</v>
      </c>
      <c r="Z11" s="50" t="str">
        <f t="array" ref="Z11">IF($Y$2=0,"",IFERROR(INDEX($E$3:$F$114,SMALL(IF($E$3:$E$114=$Y$2,ROW($E$3:$E$114)-2),ROW(E9)),2),""))</f>
        <v>Mesa PAD LH</v>
      </c>
      <c r="AC11" s="71"/>
      <c r="AF11" s="54" t="str">
        <f t="array" ref="AF11">IF($AE$2=0,"",IFERROR(INDEX($H$3:$I$92,SMALL(IF($H$3:$H$92=$AE$2,ROW($H$3:$H$92)-2),ROW(H9)),2),""))</f>
        <v>Queda de energia</v>
      </c>
      <c r="AI11" s="54" t="str">
        <f t="array" ref="AI11">IF($AH$2=0,"",IFERROR(INDEX($K$3:$L$92,SMALL(IF($K$3:$K$92=$AH$2,ROW($K$3:$K$92)-2),ROW(K9)),2),""))</f>
        <v/>
      </c>
      <c r="AL11" s="87" t="str">
        <f t="array" ref="AL11">IF($AK$2=0,"",IFERROR(INDEX($N$3:$O$499,SMALL(IF($N$3:$N$499=$AK$2,ROW($N$3:$N$499)-2),ROW(N9)),2),""))</f>
        <v>67867-52040</v>
      </c>
      <c r="AO11" s="55" t="str">
        <f t="array" ref="AO11">IF($AN$2=0,"",IFERROR(INDEX($S$3:$T$366,SMALL(IF($R$3:$R$366=$AN$2,ROW($R$3:$R$366)-2),ROW(T9)),2),""))</f>
        <v>Maquinas e Equip.</v>
      </c>
      <c r="AP11" s="56" t="str">
        <f t="array" ref="AP11">IF($AN$2=0,"",IFERROR(INDEX($R$3:$S$366,SMALL(IF($R$3:$R$366=$AN$2,ROW($R$3:$R$366)-2),ROW(S9)),2),""))</f>
        <v>Soldagem Pecas</v>
      </c>
      <c r="AR11" s="64" t="str">
        <f t="array" ref="AR11">IF($AN$2=0,"",IFERROR(INDEX($AO$3:$AP$62,SMALL(IF($AO$3:$AO$62=$AR$2,ROW($AO$3:$AO$62)-2),ROW(AO9)),2),""))</f>
        <v/>
      </c>
      <c r="AS11" s="65" t="str">
        <f t="array" ref="AS11">IF($AN$2=0,"",IFERROR(INDEX($AO$3:$AP$62,SMALL(IF($AO$3:$AO$62=$AS$2,ROW($AO$3:$AO$62)-2),ROW(AO9)),2),""))</f>
        <v/>
      </c>
      <c r="AT11" s="66" t="str">
        <f t="array" ref="AT11">IF($AN$2=0,"",IFERROR(INDEX($AO$3:$AP$62,SMALL(IF($AO$3:$AO$62=$AT$2,ROW($AO$3:$AO$62)-2),ROW(AO9)),2),""))</f>
        <v/>
      </c>
      <c r="AU11" s="67" t="str">
        <f t="array" ref="AU11">IF($AN$2=0,"",IFERROR(INDEX($AO$3:$AP$62,SMALL(IF($AO$3:$AO$62=$AU$2,ROW($AO$3:$AO$62)-2),ROW(AO9)),2),""))</f>
        <v/>
      </c>
      <c r="AV11" s="68" t="str">
        <f t="array" ref="AV11">IF($AN$2=0,"",IFERROR(INDEX($AO$3:$AP$62,SMALL(IF($AO$3:$AO$62=$AV$2,ROW($AO$3:$AO$62)-2),ROW(AO9)),2),""))</f>
        <v/>
      </c>
      <c r="AW11" s="69" t="str">
        <f t="array" ref="AW11">IF($AN$2=0,"",IFERROR(INDEX($AO$3:$AP$62,SMALL(IF($AO$3:$AO$62=$AW$2,ROW($AO$3:$AO$62)-2),ROW(AO9)),2),""))</f>
        <v/>
      </c>
      <c r="AX11" s="70" t="str">
        <f t="array" ref="AX11">IF($AN$2=0,"",IFERROR(INDEX($AO$3:$AP$62,SMALL(IF($AO$3:$AO$62=$AX$2,ROW($AO$3:$AO$62)-2),ROW(AO9)),2),""))</f>
        <v/>
      </c>
    </row>
    <row r="12" spans="2:58">
      <c r="B12" s="24" t="s">
        <v>60</v>
      </c>
      <c r="C12" s="24" t="s">
        <v>35</v>
      </c>
      <c r="E12" s="85" t="s">
        <v>60</v>
      </c>
      <c r="F12" s="85" t="s">
        <v>706</v>
      </c>
      <c r="H12" s="29" t="s">
        <v>321</v>
      </c>
      <c r="I12" s="270" t="s">
        <v>1065</v>
      </c>
      <c r="K12" s="241" t="s">
        <v>272</v>
      </c>
      <c r="L12" s="272" t="s">
        <v>453</v>
      </c>
      <c r="N12" s="92" t="s">
        <v>273</v>
      </c>
      <c r="O12" s="92" t="s">
        <v>580</v>
      </c>
      <c r="P12" s="93" t="s">
        <v>6</v>
      </c>
      <c r="R12" s="52" t="s">
        <v>321</v>
      </c>
      <c r="S12" s="53" t="s">
        <v>922</v>
      </c>
      <c r="T12" s="52" t="s">
        <v>909</v>
      </c>
      <c r="W12" s="50" t="str">
        <f t="array" ref="W12">IF($V$2=0,"",IFERROR(INDEX($B$3:$C$520,SMALL(IF($B$3:$B$520=$V$2,ROW($B$3:$B$520)-2),ROW(B10)),2),""))</f>
        <v>G-230</v>
      </c>
      <c r="Z12" s="50" t="str">
        <f t="array" ref="Z12">IF($Y$2=0,"",IFERROR(INDEX($E$3:$F$114,SMALL(IF($E$3:$E$114=$Y$2,ROW($E$3:$E$114)-2),ROW(E10)),2),""))</f>
        <v>Mesa Rodinho</v>
      </c>
      <c r="AC12" s="71"/>
      <c r="AF12" s="54" t="str">
        <f t="array" ref="AF12">IF($AE$2=0,"",IFERROR(INDEX($H$3:$I$92,SMALL(IF($H$3:$H$92=$AE$2,ROW($H$3:$H$92)-2),ROW(H10)),2),""))</f>
        <v>Outros</v>
      </c>
      <c r="AI12" s="54" t="str">
        <f t="array" ref="AI12">IF($AH$2=0,"",IFERROR(INDEX($K$3:$L$92,SMALL(IF($K$3:$K$92=$AH$2,ROW($K$3:$K$92)-2),ROW(K10)),2),""))</f>
        <v/>
      </c>
      <c r="AL12" s="87" t="str">
        <f t="array" ref="AL12">IF($AK$2=0,"",IFERROR(INDEX($N$3:$O$499,SMALL(IF($N$3:$N$499=$AK$2,ROW($N$3:$N$499)-2),ROW(N10)),2),""))</f>
        <v>67868-12090</v>
      </c>
      <c r="AO12" s="55" t="str">
        <f t="array" ref="AO12">IF($AN$2=0,"",IFERROR(INDEX($S$3:$T$366,SMALL(IF($R$3:$R$366=$AN$2,ROW($R$3:$R$366)-2),ROW(T10)),2),""))</f>
        <v>Maquinas e Equip.</v>
      </c>
      <c r="AP12" s="56" t="str">
        <f t="array" ref="AP12">IF($AN$2=0,"",IFERROR(INDEX($R$3:$S$366,SMALL(IF($R$3:$R$366=$AN$2,ROW($R$3:$R$366)-2),ROW(S10)),2),""))</f>
        <v>Suporte Producao</v>
      </c>
      <c r="AR12" s="64" t="str">
        <f t="array" ref="AR12">IF($AN$2=0,"",IFERROR(INDEX($AO$3:$AP$62,SMALL(IF($AO$3:$AO$62=$AR$2,ROW($AO$3:$AO$62)-2),ROW(AO10)),2),""))</f>
        <v/>
      </c>
      <c r="AS12" s="65" t="str">
        <f t="array" ref="AS12">IF($AN$2=0,"",IFERROR(INDEX($AO$3:$AP$62,SMALL(IF($AO$3:$AO$62=$AS$2,ROW($AO$3:$AO$62)-2),ROW(AO10)),2),""))</f>
        <v/>
      </c>
      <c r="AT12" s="66" t="str">
        <f t="array" ref="AT12">IF($AN$2=0,"",IFERROR(INDEX($AO$3:$AP$62,SMALL(IF($AO$3:$AO$62=$AT$2,ROW($AO$3:$AO$62)-2),ROW(AO10)),2),""))</f>
        <v/>
      </c>
      <c r="AU12" s="67" t="str">
        <f t="array" ref="AU12">IF($AN$2=0,"",IFERROR(INDEX($AO$3:$AP$62,SMALL(IF($AO$3:$AO$62=$AU$2,ROW($AO$3:$AO$62)-2),ROW(AO10)),2),""))</f>
        <v/>
      </c>
      <c r="AV12" s="68" t="str">
        <f t="array" ref="AV12">IF($AN$2=0,"",IFERROR(INDEX($AO$3:$AP$62,SMALL(IF($AO$3:$AO$62=$AV$2,ROW($AO$3:$AO$62)-2),ROW(AO10)),2),""))</f>
        <v/>
      </c>
      <c r="AW12" s="69" t="str">
        <f t="array" ref="AW12">IF($AN$2=0,"",IFERROR(INDEX($AO$3:$AP$62,SMALL(IF($AO$3:$AO$62=$AW$2,ROW($AO$3:$AO$62)-2),ROW(AO10)),2),""))</f>
        <v/>
      </c>
      <c r="AX12" s="70" t="str">
        <f t="array" ref="AX12">IF($AN$2=0,"",IFERROR(INDEX($AO$3:$AP$62,SMALL(IF($AO$3:$AO$62=$AX$2,ROW($AO$3:$AO$62)-2),ROW(AO10)),2),""))</f>
        <v/>
      </c>
    </row>
    <row r="13" spans="2:58">
      <c r="B13" s="24" t="s">
        <v>92</v>
      </c>
      <c r="C13" s="24" t="s">
        <v>61</v>
      </c>
      <c r="E13" s="85" t="s">
        <v>60</v>
      </c>
      <c r="F13" s="85" t="s">
        <v>707</v>
      </c>
      <c r="H13" s="29" t="s">
        <v>273</v>
      </c>
      <c r="I13" s="270" t="s">
        <v>441</v>
      </c>
      <c r="K13" s="241" t="s">
        <v>272</v>
      </c>
      <c r="L13" s="272" t="s">
        <v>437</v>
      </c>
      <c r="N13" s="92" t="s">
        <v>273</v>
      </c>
      <c r="O13" s="92" t="s">
        <v>590</v>
      </c>
      <c r="P13" s="93" t="s">
        <v>6</v>
      </c>
      <c r="R13" s="52" t="s">
        <v>321</v>
      </c>
      <c r="S13" s="53" t="s">
        <v>431</v>
      </c>
      <c r="T13" s="52" t="s">
        <v>910</v>
      </c>
      <c r="W13" s="50" t="str">
        <f t="array" ref="W13">IF($V$2=0,"",IFERROR(INDEX($B$3:$C$520,SMALL(IF($B$3:$B$520=$V$2,ROW($B$3:$B$520)-2),ROW(B11)),2),""))</f>
        <v>G-261</v>
      </c>
      <c r="Z13" s="50" t="str">
        <f t="array" ref="Z13">IF($Y$2=0,"",IFERROR(INDEX($E$3:$F$114,SMALL(IF($E$3:$E$114=$Y$2,ROW($E$3:$E$114)-2),ROW(E11)),2),""))</f>
        <v>Retrabalho</v>
      </c>
      <c r="AC13" s="71"/>
      <c r="AF13" s="71"/>
      <c r="AL13" s="87" t="str">
        <f t="array" ref="AL13">IF($AK$2=0,"",IFERROR(INDEX($N$3:$O$499,SMALL(IF($N$3:$N$499=$AK$2,ROW($N$3:$N$499)-2),ROW(N11)),2),""))</f>
        <v>67868-12100</v>
      </c>
      <c r="AO13" s="55" t="str">
        <f t="array" ref="AO13">IF($AN$2=0,"",IFERROR(INDEX($S$3:$T$366,SMALL(IF($R$3:$R$366=$AN$2,ROW($R$3:$R$366)-2),ROW(T11)),2),""))</f>
        <v>Maquinas e Equip.</v>
      </c>
      <c r="AP13" s="56" t="str">
        <f t="array" ref="AP13">IF($AN$2=0,"",IFERROR(INDEX($R$3:$S$366,SMALL(IF($R$3:$R$366=$AN$2,ROW($R$3:$R$366)-2),ROW(S11)),2),""))</f>
        <v>Erro Operacional</v>
      </c>
      <c r="AR13" s="64" t="str">
        <f t="array" ref="AR13">IF($AN$2=0,"",IFERROR(INDEX($AO$3:$AP$62,SMALL(IF($AO$3:$AO$62=$AR$2,ROW($AO$3:$AO$62)-2),ROW(AO11)),2),""))</f>
        <v/>
      </c>
      <c r="AS13" s="65" t="str">
        <f t="array" ref="AS13">IF($AN$2=0,"",IFERROR(INDEX($AO$3:$AP$62,SMALL(IF($AO$3:$AO$62=$AS$2,ROW($AO$3:$AO$62)-2),ROW(AO11)),2),""))</f>
        <v/>
      </c>
      <c r="AT13" s="66" t="str">
        <f t="array" ref="AT13">IF($AN$2=0,"",IFERROR(INDEX($AO$3:$AP$62,SMALL(IF($AO$3:$AO$62=$AT$2,ROW($AO$3:$AO$62)-2),ROW(AO11)),2),""))</f>
        <v/>
      </c>
      <c r="AU13" s="67" t="str">
        <f t="array" ref="AU13">IF($AN$2=0,"",IFERROR(INDEX($AO$3:$AP$62,SMALL(IF($AO$3:$AO$62=$AU$2,ROW($AO$3:$AO$62)-2),ROW(AO11)),2),""))</f>
        <v/>
      </c>
      <c r="AV13" s="68" t="str">
        <f t="array" ref="AV13">IF($AN$2=0,"",IFERROR(INDEX($AO$3:$AP$62,SMALL(IF($AO$3:$AO$62=$AV$2,ROW($AO$3:$AO$62)-2),ROW(AO11)),2),""))</f>
        <v/>
      </c>
      <c r="AW13" s="69" t="str">
        <f t="array" ref="AW13">IF($AN$2=0,"",IFERROR(INDEX($AO$3:$AP$62,SMALL(IF($AO$3:$AO$62=$AW$2,ROW($AO$3:$AO$62)-2),ROW(AO11)),2),""))</f>
        <v/>
      </c>
      <c r="AX13" s="70" t="str">
        <f t="array" ref="AX13">IF($AN$2=0,"",IFERROR(INDEX($AO$3:$AP$62,SMALL(IF($AO$3:$AO$62=$AX$2,ROW($AO$3:$AO$62)-2),ROW(AO11)),2),""))</f>
        <v/>
      </c>
    </row>
    <row r="14" spans="2:58">
      <c r="B14" s="24" t="s">
        <v>92</v>
      </c>
      <c r="C14" s="24" t="s">
        <v>62</v>
      </c>
      <c r="E14" s="85" t="s">
        <v>60</v>
      </c>
      <c r="F14" s="85" t="s">
        <v>708</v>
      </c>
      <c r="H14" s="29" t="s">
        <v>273</v>
      </c>
      <c r="I14" s="270" t="s">
        <v>442</v>
      </c>
      <c r="K14" s="241" t="s">
        <v>272</v>
      </c>
      <c r="L14" s="272" t="s">
        <v>1066</v>
      </c>
      <c r="N14" s="92" t="s">
        <v>273</v>
      </c>
      <c r="O14" s="92">
        <v>30005175</v>
      </c>
      <c r="P14" s="93" t="s">
        <v>6</v>
      </c>
      <c r="R14" s="52" t="s">
        <v>321</v>
      </c>
      <c r="S14" s="53" t="s">
        <v>923</v>
      </c>
      <c r="T14" s="52" t="s">
        <v>910</v>
      </c>
      <c r="W14" s="50" t="str">
        <f t="array" ref="W14">IF($V$2=0,"",IFERROR(INDEX($B$3:$C$520,SMALL(IF($B$3:$B$520=$V$2,ROW($B$3:$B$520)-2),ROW(B12)),2),""))</f>
        <v>G-270</v>
      </c>
      <c r="Z14" s="50" t="str">
        <f t="array" ref="Z14">IF($Y$2=0,"",IFERROR(INDEX($E$3:$F$114,SMALL(IF($E$3:$E$114=$Y$2,ROW($E$3:$E$114)-2),ROW(E12)),2),""))</f>
        <v/>
      </c>
      <c r="AC14" s="71"/>
      <c r="AF14" s="71"/>
      <c r="AL14" s="87" t="str">
        <f t="array" ref="AL14">IF($AK$2=0,"",IFERROR(INDEX($N$3:$O$499,SMALL(IF($N$3:$N$499=$AK$2,ROW($N$3:$N$499)-2),ROW(N12)),2),""))</f>
        <v>67868-12110</v>
      </c>
      <c r="AO14" s="55" t="str">
        <f t="array" ref="AO14">IF($AN$2=0,"",IFERROR(INDEX($S$3:$T$366,SMALL(IF($R$3:$R$366=$AN$2,ROW($R$3:$R$366)-2),ROW(T12)),2),""))</f>
        <v>Maquinas e Equip.</v>
      </c>
      <c r="AP14" s="56" t="str">
        <f t="array" ref="AP14">IF($AN$2=0,"",IFERROR(INDEX($R$3:$S$366,SMALL(IF($R$3:$R$366=$AN$2,ROW($R$3:$R$366)-2),ROW(S12)),2),""))</f>
        <v>Quebra Componentes</v>
      </c>
      <c r="AR14" s="64" t="str">
        <f t="array" ref="AR14">IF($AN$2=0,"",IFERROR(INDEX($AO$3:$AP$62,SMALL(IF($AO$3:$AO$62=$AR$2,ROW($AO$3:$AO$62)-2),ROW(AO12)),2),""))</f>
        <v/>
      </c>
      <c r="AS14" s="65" t="str">
        <f t="array" ref="AS14">IF($AN$2=0,"",IFERROR(INDEX($AO$3:$AP$62,SMALL(IF($AO$3:$AO$62=$AS$2,ROW($AO$3:$AO$62)-2),ROW(AO12)),2),""))</f>
        <v/>
      </c>
      <c r="AT14" s="66" t="str">
        <f t="array" ref="AT14">IF($AN$2=0,"",IFERROR(INDEX($AO$3:$AP$62,SMALL(IF($AO$3:$AO$62=$AT$2,ROW($AO$3:$AO$62)-2),ROW(AO12)),2),""))</f>
        <v/>
      </c>
      <c r="AU14" s="67" t="str">
        <f t="array" ref="AU14">IF($AN$2=0,"",IFERROR(INDEX($AO$3:$AP$62,SMALL(IF($AO$3:$AO$62=$AU$2,ROW($AO$3:$AO$62)-2),ROW(AO12)),2),""))</f>
        <v/>
      </c>
      <c r="AV14" s="68" t="str">
        <f t="array" ref="AV14">IF($AN$2=0,"",IFERROR(INDEX($AO$3:$AP$62,SMALL(IF($AO$3:$AO$62=$AV$2,ROW($AO$3:$AO$62)-2),ROW(AO12)),2),""))</f>
        <v/>
      </c>
      <c r="AW14" s="69" t="str">
        <f t="array" ref="AW14">IF($AN$2=0,"",IFERROR(INDEX($AO$3:$AP$62,SMALL(IF($AO$3:$AO$62=$AW$2,ROW($AO$3:$AO$62)-2),ROW(AO12)),2),""))</f>
        <v/>
      </c>
      <c r="AX14" s="70" t="str">
        <f t="array" ref="AX14">IF($AN$2=0,"",IFERROR(INDEX($AO$3:$AP$62,SMALL(IF($AO$3:$AO$62=$AX$2,ROW($AO$3:$AO$62)-2),ROW(AO12)),2),""))</f>
        <v/>
      </c>
    </row>
    <row r="15" spans="2:58">
      <c r="B15" s="24" t="s">
        <v>92</v>
      </c>
      <c r="C15" s="24" t="s">
        <v>63</v>
      </c>
      <c r="E15" s="85" t="s">
        <v>60</v>
      </c>
      <c r="F15" s="85" t="s">
        <v>709</v>
      </c>
      <c r="H15" s="29" t="s">
        <v>273</v>
      </c>
      <c r="I15" s="270" t="s">
        <v>443</v>
      </c>
      <c r="K15" s="241" t="s">
        <v>272</v>
      </c>
      <c r="L15" s="272" t="s">
        <v>206</v>
      </c>
      <c r="N15" s="92" t="s">
        <v>273</v>
      </c>
      <c r="O15" s="92" t="s">
        <v>587</v>
      </c>
      <c r="P15" s="93" t="s">
        <v>6</v>
      </c>
      <c r="R15" s="52" t="s">
        <v>321</v>
      </c>
      <c r="S15" s="53" t="s">
        <v>924</v>
      </c>
      <c r="T15" s="52" t="s">
        <v>910</v>
      </c>
      <c r="W15" s="50" t="str">
        <f t="array" ref="W15">IF($V$2=0,"",IFERROR(INDEX($B$3:$C$520,SMALL(IF($B$3:$B$520=$V$2,ROW($B$3:$B$520)-2),ROW(B13)),2),""))</f>
        <v>O-211</v>
      </c>
      <c r="Z15" s="50" t="str">
        <f t="array" ref="Z15">IF($Y$2=0,"",IFERROR(INDEX($E$3:$F$114,SMALL(IF($E$3:$E$114=$Y$2,ROW($E$3:$E$114)-2),ROW(E13)),2),""))</f>
        <v/>
      </c>
      <c r="AC15" s="71"/>
      <c r="AF15" s="71"/>
      <c r="AL15" s="87" t="str">
        <f t="array" ref="AL15">IF($AK$2=0,"",IFERROR(INDEX($N$3:$O$499,SMALL(IF($N$3:$N$499=$AK$2,ROW($N$3:$N$499)-2),ROW(N13)),2),""))</f>
        <v>90467-04034</v>
      </c>
      <c r="AO15" s="55" t="str">
        <f t="array" ref="AO15">IF($AN$2=0,"",IFERROR(INDEX($S$3:$T$366,SMALL(IF($R$3:$R$366=$AN$2,ROW($R$3:$R$366)-2),ROW(T13)),2),""))</f>
        <v>Maquinas e Equip.</v>
      </c>
      <c r="AP15" s="56" t="str">
        <f t="array" ref="AP15">IF($AN$2=0,"",IFERROR(INDEX($R$3:$S$366,SMALL(IF($R$3:$R$366=$AN$2,ROW($R$3:$R$366)-2),ROW(S13)),2),""))</f>
        <v>Falha Utilidades</v>
      </c>
      <c r="AR15" s="64" t="str">
        <f t="array" ref="AR15">IF($AN$2=0,"",IFERROR(INDEX($AO$3:$AP$62,SMALL(IF($AO$3:$AO$62=$AR$2,ROW($AO$3:$AO$62)-2),ROW(AO13)),2),""))</f>
        <v/>
      </c>
      <c r="AS15" s="65" t="str">
        <f t="array" ref="AS15">IF($AN$2=0,"",IFERROR(INDEX($AO$3:$AP$62,SMALL(IF($AO$3:$AO$62=$AS$2,ROW($AO$3:$AO$62)-2),ROW(AO13)),2),""))</f>
        <v/>
      </c>
      <c r="AT15" s="66" t="str">
        <f t="array" ref="AT15">IF($AN$2=0,"",IFERROR(INDEX($AO$3:$AP$62,SMALL(IF($AO$3:$AO$62=$AT$2,ROW($AO$3:$AO$62)-2),ROW(AO13)),2),""))</f>
        <v/>
      </c>
      <c r="AU15" s="67" t="str">
        <f t="array" ref="AU15">IF($AN$2=0,"",IFERROR(INDEX($AO$3:$AP$62,SMALL(IF($AO$3:$AO$62=$AU$2,ROW($AO$3:$AO$62)-2),ROW(AO13)),2),""))</f>
        <v/>
      </c>
      <c r="AV15" s="68" t="str">
        <f t="array" ref="AV15">IF($AN$2=0,"",IFERROR(INDEX($AO$3:$AP$62,SMALL(IF($AO$3:$AO$62=$AV$2,ROW($AO$3:$AO$62)-2),ROW(AO13)),2),""))</f>
        <v/>
      </c>
      <c r="AW15" s="69" t="str">
        <f t="array" ref="AW15">IF($AN$2=0,"",IFERROR(INDEX($AO$3:$AP$62,SMALL(IF($AO$3:$AO$62=$AW$2,ROW($AO$3:$AO$62)-2),ROW(AO13)),2),""))</f>
        <v/>
      </c>
      <c r="AX15" s="70" t="str">
        <f t="array" ref="AX15">IF($AN$2=0,"",IFERROR(INDEX($AO$3:$AP$62,SMALL(IF($AO$3:$AO$62=$AX$2,ROW($AO$3:$AO$62)-2),ROW(AO13)),2),""))</f>
        <v/>
      </c>
    </row>
    <row r="16" spans="2:58">
      <c r="B16" s="24" t="s">
        <v>92</v>
      </c>
      <c r="C16" s="24" t="s">
        <v>64</v>
      </c>
      <c r="E16" s="85" t="s">
        <v>60</v>
      </c>
      <c r="F16" s="85" t="s">
        <v>710</v>
      </c>
      <c r="H16" s="29" t="s">
        <v>273</v>
      </c>
      <c r="I16" s="270" t="s">
        <v>206</v>
      </c>
      <c r="K16" s="241" t="s">
        <v>272</v>
      </c>
      <c r="L16" s="272" t="s">
        <v>439</v>
      </c>
      <c r="N16" s="92" t="s">
        <v>163</v>
      </c>
      <c r="O16" s="92" t="s">
        <v>502</v>
      </c>
      <c r="P16" s="93" t="s">
        <v>6</v>
      </c>
      <c r="R16" s="52" t="s">
        <v>321</v>
      </c>
      <c r="S16" s="53" t="s">
        <v>925</v>
      </c>
      <c r="T16" s="52" t="s">
        <v>910</v>
      </c>
      <c r="W16" s="50" t="str">
        <f t="array" ref="W16">IF($V$2=0,"",IFERROR(INDEX($B$3:$C$520,SMALL(IF($B$3:$B$520=$V$2,ROW($B$3:$B$520)-2),ROW(B14)),2),""))</f>
        <v>O-213</v>
      </c>
      <c r="Z16" s="50" t="str">
        <f t="array" ref="Z16">IF($Y$2=0,"",IFERROR(INDEX($E$3:$F$114,SMALL(IF($E$3:$E$114=$Y$2,ROW($E$3:$E$114)-2),ROW(E14)),2),""))</f>
        <v/>
      </c>
      <c r="AC16" s="71"/>
      <c r="AF16" s="71"/>
      <c r="AL16" s="87" t="str">
        <f t="array" ref="AL16">IF($AK$2=0,"",IFERROR(INDEX($N$3:$O$499,SMALL(IF($N$3:$N$499=$AK$2,ROW($N$3:$N$499)-2),ROW(N14)),2),""))</f>
        <v>9-53234-00000</v>
      </c>
      <c r="AO16" s="55" t="str">
        <f t="array" ref="AO16">IF($AN$2=0,"",IFERROR(INDEX($S$3:$T$366,SMALL(IF($R$3:$R$366=$AN$2,ROW($R$3:$R$366)-2),ROW(T14)),2),""))</f>
        <v>Operacional</v>
      </c>
      <c r="AP16" s="56" t="str">
        <f t="array" ref="AP16">IF($AN$2=0,"",IFERROR(INDEX($R$3:$S$366,SMALL(IF($R$3:$R$366=$AN$2,ROW($R$3:$R$366)-2),ROW(S14)),2),""))</f>
        <v>Ajuste Parametros</v>
      </c>
      <c r="AR16" s="64" t="str">
        <f t="array" ref="AR16">IF($AN$2=0,"",IFERROR(INDEX($AO$3:$AP$62,SMALL(IF($AO$3:$AO$62=$AR$2,ROW($AO$3:$AO$62)-2),ROW(AO14)),2),""))</f>
        <v/>
      </c>
      <c r="AS16" s="65" t="str">
        <f t="array" ref="AS16">IF($AN$2=0,"",IFERROR(INDEX($AO$3:$AP$62,SMALL(IF($AO$3:$AO$62=$AS$2,ROW($AO$3:$AO$62)-2),ROW(AO14)),2),""))</f>
        <v/>
      </c>
      <c r="AT16" s="66" t="str">
        <f t="array" ref="AT16">IF($AN$2=0,"",IFERROR(INDEX($AO$3:$AP$62,SMALL(IF($AO$3:$AO$62=$AT$2,ROW($AO$3:$AO$62)-2),ROW(AO14)),2),""))</f>
        <v/>
      </c>
      <c r="AU16" s="67" t="str">
        <f t="array" ref="AU16">IF($AN$2=0,"",IFERROR(INDEX($AO$3:$AP$62,SMALL(IF($AO$3:$AO$62=$AU$2,ROW($AO$3:$AO$62)-2),ROW(AO14)),2),""))</f>
        <v/>
      </c>
      <c r="AV16" s="68" t="str">
        <f t="array" ref="AV16">IF($AN$2=0,"",IFERROR(INDEX($AO$3:$AP$62,SMALL(IF($AO$3:$AO$62=$AV$2,ROW($AO$3:$AO$62)-2),ROW(AO14)),2),""))</f>
        <v/>
      </c>
      <c r="AW16" s="69" t="str">
        <f t="array" ref="AW16">IF($AN$2=0,"",IFERROR(INDEX($AO$3:$AP$62,SMALL(IF($AO$3:$AO$62=$AW$2,ROW($AO$3:$AO$62)-2),ROW(AO14)),2),""))</f>
        <v/>
      </c>
      <c r="AX16" s="70" t="str">
        <f t="array" ref="AX16">IF($AN$2=0,"",IFERROR(INDEX($AO$3:$AP$62,SMALL(IF($AO$3:$AO$62=$AX$2,ROW($AO$3:$AO$62)-2),ROW(AO14)),2),""))</f>
        <v/>
      </c>
    </row>
    <row r="17" spans="2:50">
      <c r="B17" s="24" t="s">
        <v>92</v>
      </c>
      <c r="C17" s="24" t="s">
        <v>65</v>
      </c>
      <c r="E17" s="85" t="s">
        <v>60</v>
      </c>
      <c r="F17" s="85" t="s">
        <v>711</v>
      </c>
      <c r="H17" s="29" t="s">
        <v>273</v>
      </c>
      <c r="I17" s="270" t="s">
        <v>444</v>
      </c>
      <c r="K17" s="241" t="s">
        <v>272</v>
      </c>
      <c r="L17" s="272" t="s">
        <v>454</v>
      </c>
      <c r="N17" s="92" t="s">
        <v>132</v>
      </c>
      <c r="O17" s="92" t="s">
        <v>524</v>
      </c>
      <c r="P17" s="93" t="s">
        <v>6</v>
      </c>
      <c r="R17" s="52" t="s">
        <v>321</v>
      </c>
      <c r="S17" s="53" t="s">
        <v>926</v>
      </c>
      <c r="T17" s="52" t="s">
        <v>910</v>
      </c>
      <c r="W17" s="50" t="str">
        <f t="array" ref="W17">IF($V$2=0,"",IFERROR(INDEX($B$3:$C$520,SMALL(IF($B$3:$B$520=$V$2,ROW($B$3:$B$520)-2),ROW(B15)),2),""))</f>
        <v>O-215</v>
      </c>
      <c r="Z17" s="50" t="str">
        <f t="array" ref="Z17">IF($Y$2=0,"",IFERROR(INDEX($E$3:$F$114,SMALL(IF($E$3:$E$114=$Y$2,ROW($E$3:$E$114)-2),ROW(E15)),2),""))</f>
        <v/>
      </c>
      <c r="AC17" s="71"/>
      <c r="AF17" s="71"/>
      <c r="AL17" s="87" t="str">
        <f t="array" ref="AL17">IF($AK$2=0,"",IFERROR(INDEX($N$3:$O$499,SMALL(IF($N$3:$N$499=$AK$2,ROW($N$3:$N$499)-2),ROW(N15)),2),""))</f>
        <v>GW119-00700</v>
      </c>
      <c r="AO17" s="55" t="str">
        <f t="array" ref="AO17">IF($AN$2=0,"",IFERROR(INDEX($S$3:$T$366,SMALL(IF($R$3:$R$366=$AN$2,ROW($R$3:$R$366)-2),ROW(T15)),2),""))</f>
        <v>Operacional</v>
      </c>
      <c r="AP17" s="56" t="str">
        <f t="array" ref="AP17">IF($AN$2=0,"",IFERROR(INDEX($R$3:$S$366,SMALL(IF($R$3:$R$366=$AN$2,ROW($R$3:$R$366)-2),ROW(S15)),2),""))</f>
        <v>Troca Facas</v>
      </c>
      <c r="AR17" s="64" t="str">
        <f t="array" ref="AR17">IF($AN$2=0,"",IFERROR(INDEX($AO$3:$AP$62,SMALL(IF($AO$3:$AO$62=$AR$2,ROW($AO$3:$AO$62)-2),ROW(AO15)),2),""))</f>
        <v/>
      </c>
      <c r="AS17" s="65" t="str">
        <f t="array" ref="AS17">IF($AN$2=0,"",IFERROR(INDEX($AO$3:$AP$62,SMALL(IF($AO$3:$AO$62=$AS$2,ROW($AO$3:$AO$62)-2),ROW(AO15)),2),""))</f>
        <v/>
      </c>
      <c r="AT17" s="66" t="str">
        <f t="array" ref="AT17">IF($AN$2=0,"",IFERROR(INDEX($AO$3:$AP$62,SMALL(IF($AO$3:$AO$62=$AT$2,ROW($AO$3:$AO$62)-2),ROW(AO15)),2),""))</f>
        <v/>
      </c>
      <c r="AU17" s="67" t="str">
        <f t="array" ref="AU17">IF($AN$2=0,"",IFERROR(INDEX($AO$3:$AP$62,SMALL(IF($AO$3:$AO$62=$AU$2,ROW($AO$3:$AO$62)-2),ROW(AO15)),2),""))</f>
        <v/>
      </c>
      <c r="AV17" s="68" t="str">
        <f t="array" ref="AV17">IF($AN$2=0,"",IFERROR(INDEX($AO$3:$AP$62,SMALL(IF($AO$3:$AO$62=$AV$2,ROW($AO$3:$AO$62)-2),ROW(AO15)),2),""))</f>
        <v/>
      </c>
      <c r="AW17" s="69" t="str">
        <f t="array" ref="AW17">IF($AN$2=0,"",IFERROR(INDEX($AO$3:$AP$62,SMALL(IF($AO$3:$AO$62=$AW$2,ROW($AO$3:$AO$62)-2),ROW(AO15)),2),""))</f>
        <v/>
      </c>
      <c r="AX17" s="70" t="str">
        <f t="array" ref="AX17">IF($AN$2=0,"",IFERROR(INDEX($AO$3:$AP$62,SMALL(IF($AO$3:$AO$62=$AX$2,ROW($AO$3:$AO$62)-2),ROW(AO15)),2),""))</f>
        <v/>
      </c>
    </row>
    <row r="18" spans="2:50">
      <c r="B18" s="24" t="s">
        <v>92</v>
      </c>
      <c r="C18" s="24" t="s">
        <v>66</v>
      </c>
      <c r="E18" s="85" t="s">
        <v>60</v>
      </c>
      <c r="F18" s="85" t="s">
        <v>712</v>
      </c>
      <c r="H18" s="29" t="s">
        <v>273</v>
      </c>
      <c r="I18" s="270" t="s">
        <v>1078</v>
      </c>
      <c r="K18" s="241" t="s">
        <v>272</v>
      </c>
      <c r="L18" s="272" t="s">
        <v>1067</v>
      </c>
      <c r="N18" s="92" t="s">
        <v>132</v>
      </c>
      <c r="O18" s="92" t="s">
        <v>525</v>
      </c>
      <c r="P18" s="93" t="s">
        <v>6</v>
      </c>
      <c r="R18" s="52" t="s">
        <v>321</v>
      </c>
      <c r="S18" s="53" t="s">
        <v>927</v>
      </c>
      <c r="T18" s="52" t="s">
        <v>910</v>
      </c>
      <c r="W18" s="50" t="str">
        <f t="array" ref="W18">IF($V$2=0,"",IFERROR(INDEX($B$3:$C$520,SMALL(IF($B$3:$B$520=$V$2,ROW($B$3:$B$520)-2),ROW(B16)),2),""))</f>
        <v>O-218</v>
      </c>
      <c r="Z18" s="50" t="str">
        <f t="array" ref="Z18">IF($Y$2=0,"",IFERROR(INDEX($E$3:$F$114,SMALL(IF($E$3:$E$114=$Y$2,ROW($E$3:$E$114)-2),ROW(E16)),2),""))</f>
        <v/>
      </c>
      <c r="AC18" s="71"/>
      <c r="AF18" s="71"/>
      <c r="AL18" s="87" t="str">
        <f t="array" ref="AL18">IF($AK$2=0,"",IFERROR(INDEX($N$3:$O$499,SMALL(IF($N$3:$N$499=$AK$2,ROW($N$3:$N$499)-2),ROW(N16)),2),""))</f>
        <v>GW445-S0010</v>
      </c>
      <c r="AO18" s="55" t="str">
        <f t="array" ref="AO18">IF($AN$2=0,"",IFERROR(INDEX($S$3:$T$366,SMALL(IF($R$3:$R$366=$AN$2,ROW($R$3:$R$366)-2),ROW(T16)),2),""))</f>
        <v>Operacional</v>
      </c>
      <c r="AP18" s="56" t="str">
        <f t="array" ref="AP18">IF($AN$2=0,"",IFERROR(INDEX($R$3:$S$366,SMALL(IF($R$3:$R$366=$AN$2,ROW($R$3:$R$366)-2),ROW(S16)),2),""))</f>
        <v>Troca Brocas</v>
      </c>
      <c r="AR18" s="64" t="str">
        <f t="array" ref="AR18">IF($AN$2=0,"",IFERROR(INDEX($AO$3:$AP$62,SMALL(IF($AO$3:$AO$62=$AR$2,ROW($AO$3:$AO$62)-2),ROW(AO16)),2),""))</f>
        <v/>
      </c>
      <c r="AS18" s="65" t="str">
        <f t="array" ref="AS18">IF($AN$2=0,"",IFERROR(INDEX($AO$3:$AP$62,SMALL(IF($AO$3:$AO$62=$AS$2,ROW($AO$3:$AO$62)-2),ROW(AO16)),2),""))</f>
        <v/>
      </c>
      <c r="AT18" s="66" t="str">
        <f t="array" ref="AT18">IF($AN$2=0,"",IFERROR(INDEX($AO$3:$AP$62,SMALL(IF($AO$3:$AO$62=$AT$2,ROW($AO$3:$AO$62)-2),ROW(AO16)),2),""))</f>
        <v/>
      </c>
      <c r="AU18" s="67" t="str">
        <f t="array" ref="AU18">IF($AN$2=0,"",IFERROR(INDEX($AO$3:$AP$62,SMALL(IF($AO$3:$AO$62=$AU$2,ROW($AO$3:$AO$62)-2),ROW(AO16)),2),""))</f>
        <v/>
      </c>
      <c r="AV18" s="68" t="str">
        <f t="array" ref="AV18">IF($AN$2=0,"",IFERROR(INDEX($AO$3:$AP$62,SMALL(IF($AO$3:$AO$62=$AV$2,ROW($AO$3:$AO$62)-2),ROW(AO16)),2),""))</f>
        <v/>
      </c>
      <c r="AW18" s="69" t="str">
        <f t="array" ref="AW18">IF($AN$2=0,"",IFERROR(INDEX($AO$3:$AP$62,SMALL(IF($AO$3:$AO$62=$AW$2,ROW($AO$3:$AO$62)-2),ROW(AO16)),2),""))</f>
        <v/>
      </c>
      <c r="AX18" s="70" t="str">
        <f t="array" ref="AX18">IF($AN$2=0,"",IFERROR(INDEX($AO$3:$AP$62,SMALL(IF($AO$3:$AO$62=$AX$2,ROW($AO$3:$AO$62)-2),ROW(AO16)),2),""))</f>
        <v/>
      </c>
    </row>
    <row r="19" spans="2:50">
      <c r="B19" s="24" t="s">
        <v>92</v>
      </c>
      <c r="C19" s="24" t="s">
        <v>67</v>
      </c>
      <c r="E19" s="85" t="s">
        <v>60</v>
      </c>
      <c r="F19" s="85" t="s">
        <v>698</v>
      </c>
      <c r="H19" s="29" t="s">
        <v>273</v>
      </c>
      <c r="I19" s="270" t="s">
        <v>445</v>
      </c>
      <c r="K19" s="241" t="s">
        <v>272</v>
      </c>
      <c r="L19" s="272" t="s">
        <v>1068</v>
      </c>
      <c r="N19" s="92" t="s">
        <v>132</v>
      </c>
      <c r="O19" s="92" t="s">
        <v>526</v>
      </c>
      <c r="P19" s="93" t="s">
        <v>6</v>
      </c>
      <c r="R19" s="52" t="s">
        <v>321</v>
      </c>
      <c r="S19" s="53" t="s">
        <v>928</v>
      </c>
      <c r="T19" s="52" t="s">
        <v>910</v>
      </c>
      <c r="W19" s="50" t="str">
        <f t="array" ref="W19">IF($V$2=0,"",IFERROR(INDEX($B$3:$C$520,SMALL(IF($B$3:$B$520=$V$2,ROW($B$3:$B$520)-2),ROW(B17)),2),""))</f>
        <v>O-219</v>
      </c>
      <c r="Z19" s="50" t="str">
        <f t="array" ref="Z19">IF($Y$2=0,"",IFERROR(INDEX($E$3:$F$114,SMALL(IF($E$3:$E$114=$Y$2,ROW($E$3:$E$114)-2),ROW(E17)),2),""))</f>
        <v/>
      </c>
      <c r="AC19" s="71"/>
      <c r="AF19" s="71"/>
      <c r="AL19" s="87" t="str">
        <f t="array" ref="AL19">IF($AK$2=0,"",IFERROR(INDEX($N$3:$O$499,SMALL(IF($N$3:$N$499=$AK$2,ROW($N$3:$N$499)-2),ROW(N17)),2),""))</f>
        <v>GW445-S0020</v>
      </c>
      <c r="AO19" s="55" t="str">
        <f t="array" ref="AO19">IF($AN$2=0,"",IFERROR(INDEX($S$3:$T$366,SMALL(IF($R$3:$R$366=$AN$2,ROW($R$3:$R$366)-2),ROW(T17)),2),""))</f>
        <v>Operacional</v>
      </c>
      <c r="AP19" s="56" t="str">
        <f t="array" ref="AP19">IF($AN$2=0,"",IFERROR(INDEX($R$3:$S$366,SMALL(IF($R$3:$R$366=$AN$2,ROW($R$3:$R$366)-2),ROW(S17)),2),""))</f>
        <v>Limpeza Maquina</v>
      </c>
      <c r="AR19" s="64" t="str">
        <f t="array" ref="AR19">IF($AN$2=0,"",IFERROR(INDEX($AO$3:$AP$62,SMALL(IF($AO$3:$AO$62=$AR$2,ROW($AO$3:$AO$62)-2),ROW(AO17)),2),""))</f>
        <v/>
      </c>
      <c r="AS19" s="65" t="str">
        <f t="array" ref="AS19">IF($AN$2=0,"",IFERROR(INDEX($AO$3:$AP$62,SMALL(IF($AO$3:$AO$62=$AS$2,ROW($AO$3:$AO$62)-2),ROW(AO17)),2),""))</f>
        <v/>
      </c>
      <c r="AT19" s="66" t="str">
        <f t="array" ref="AT19">IF($AN$2=0,"",IFERROR(INDEX($AO$3:$AP$62,SMALL(IF($AO$3:$AO$62=$AT$2,ROW($AO$3:$AO$62)-2),ROW(AO17)),2),""))</f>
        <v/>
      </c>
      <c r="AU19" s="67" t="str">
        <f t="array" ref="AU19">IF($AN$2=0,"",IFERROR(INDEX($AO$3:$AP$62,SMALL(IF($AO$3:$AO$62=$AU$2,ROW($AO$3:$AO$62)-2),ROW(AO17)),2),""))</f>
        <v/>
      </c>
      <c r="AV19" s="68" t="str">
        <f t="array" ref="AV19">IF($AN$2=0,"",IFERROR(INDEX($AO$3:$AP$62,SMALL(IF($AO$3:$AO$62=$AV$2,ROW($AO$3:$AO$62)-2),ROW(AO17)),2),""))</f>
        <v/>
      </c>
      <c r="AW19" s="69" t="str">
        <f t="array" ref="AW19">IF($AN$2=0,"",IFERROR(INDEX($AO$3:$AP$62,SMALL(IF($AO$3:$AO$62=$AW$2,ROW($AO$3:$AO$62)-2),ROW(AO17)),2),""))</f>
        <v/>
      </c>
      <c r="AX19" s="70" t="str">
        <f t="array" ref="AX19">IF($AN$2=0,"",IFERROR(INDEX($AO$3:$AP$62,SMALL(IF($AO$3:$AO$62=$AX$2,ROW($AO$3:$AO$62)-2),ROW(AO17)),2),""))</f>
        <v/>
      </c>
    </row>
    <row r="20" spans="2:50">
      <c r="B20" s="24" t="s">
        <v>92</v>
      </c>
      <c r="C20" s="24" t="s">
        <v>68</v>
      </c>
      <c r="E20" s="85" t="s">
        <v>60</v>
      </c>
      <c r="F20" s="85" t="s">
        <v>699</v>
      </c>
      <c r="H20" s="29" t="s">
        <v>273</v>
      </c>
      <c r="I20" s="270" t="s">
        <v>1104</v>
      </c>
      <c r="K20" s="241" t="s">
        <v>92</v>
      </c>
      <c r="L20" s="272" t="s">
        <v>1081</v>
      </c>
      <c r="N20" s="92" t="s">
        <v>321</v>
      </c>
      <c r="O20" s="92" t="s">
        <v>569</v>
      </c>
      <c r="P20" s="93" t="s">
        <v>6</v>
      </c>
      <c r="R20" s="52" t="s">
        <v>321</v>
      </c>
      <c r="S20" s="53" t="s">
        <v>929</v>
      </c>
      <c r="T20" s="52" t="s">
        <v>910</v>
      </c>
      <c r="W20" s="50" t="str">
        <f t="array" ref="W20">IF($V$2=0,"",IFERROR(INDEX($B$3:$C$520,SMALL(IF($B$3:$B$520=$V$2,ROW($B$3:$B$520)-2),ROW(B18)),2),""))</f>
        <v>O-220</v>
      </c>
      <c r="Z20" s="50" t="str">
        <f t="array" ref="Z20">IF($Y$2=0,"",IFERROR(INDEX($E$3:$F$114,SMALL(IF($E$3:$E$114=$Y$2,ROW($E$3:$E$114)-2),ROW(E18)),2),""))</f>
        <v/>
      </c>
      <c r="AC20" s="71"/>
      <c r="AF20" s="71"/>
      <c r="AL20" s="87" t="str">
        <f t="array" ref="AL20">IF($AK$2=0,"",IFERROR(INDEX($N$3:$O$499,SMALL(IF($N$3:$N$499=$AK$2,ROW($N$3:$N$499)-2),ROW(N18)),2),""))</f>
        <v>GW527-S0010</v>
      </c>
      <c r="AO20" s="55" t="str">
        <f t="array" ref="AO20">IF($AN$2=0,"",IFERROR(INDEX($S$3:$T$366,SMALL(IF($R$3:$R$366=$AN$2,ROW($R$3:$R$366)-2),ROW(T18)),2),""))</f>
        <v>Operacional</v>
      </c>
      <c r="AP20" s="56" t="str">
        <f t="array" ref="AP20">IF($AN$2=0,"",IFERROR(INDEX($R$3:$S$366,SMALL(IF($R$3:$R$366=$AN$2,ROW($R$3:$R$366)-2),ROW(S18)),2),""))</f>
        <v>Reg Ar Comprimido</v>
      </c>
      <c r="AR20" s="64" t="str">
        <f t="array" ref="AR20">IF($AN$2=0,"",IFERROR(INDEX($AO$3:$AP$62,SMALL(IF($AO$3:$AO$62=$AR$2,ROW($AO$3:$AO$62)-2),ROW(AO18)),2),""))</f>
        <v/>
      </c>
      <c r="AS20" s="65" t="str">
        <f t="array" ref="AS20">IF($AN$2=0,"",IFERROR(INDEX($AO$3:$AP$62,SMALL(IF($AO$3:$AO$62=$AS$2,ROW($AO$3:$AO$62)-2),ROW(AO18)),2),""))</f>
        <v/>
      </c>
      <c r="AT20" s="66" t="str">
        <f t="array" ref="AT20">IF($AN$2=0,"",IFERROR(INDEX($AO$3:$AP$62,SMALL(IF($AO$3:$AO$62=$AT$2,ROW($AO$3:$AO$62)-2),ROW(AO18)),2),""))</f>
        <v/>
      </c>
      <c r="AU20" s="67" t="str">
        <f t="array" ref="AU20">IF($AN$2=0,"",IFERROR(INDEX($AO$3:$AP$62,SMALL(IF($AO$3:$AO$62=$AU$2,ROW($AO$3:$AO$62)-2),ROW(AO18)),2),""))</f>
        <v/>
      </c>
      <c r="AV20" s="68" t="str">
        <f t="array" ref="AV20">IF($AN$2=0,"",IFERROR(INDEX($AO$3:$AP$62,SMALL(IF($AO$3:$AO$62=$AV$2,ROW($AO$3:$AO$62)-2),ROW(AO18)),2),""))</f>
        <v/>
      </c>
      <c r="AW20" s="69" t="str">
        <f t="array" ref="AW20">IF($AN$2=0,"",IFERROR(INDEX($AO$3:$AP$62,SMALL(IF($AO$3:$AO$62=$AW$2,ROW($AO$3:$AO$62)-2),ROW(AO18)),2),""))</f>
        <v/>
      </c>
      <c r="AX20" s="70" t="str">
        <f t="array" ref="AX20">IF($AN$2=0,"",IFERROR(INDEX($AO$3:$AP$62,SMALL(IF($AO$3:$AO$62=$AX$2,ROW($AO$3:$AO$62)-2),ROW(AO18)),2),""))</f>
        <v/>
      </c>
    </row>
    <row r="21" spans="2:50">
      <c r="B21" s="24" t="s">
        <v>92</v>
      </c>
      <c r="C21" s="24" t="s">
        <v>69</v>
      </c>
      <c r="E21" s="85" t="s">
        <v>60</v>
      </c>
      <c r="F21" s="85" t="s">
        <v>700</v>
      </c>
      <c r="H21" s="29" t="s">
        <v>273</v>
      </c>
      <c r="I21" s="270" t="s">
        <v>446</v>
      </c>
      <c r="K21" s="241" t="s">
        <v>92</v>
      </c>
      <c r="L21" s="272" t="s">
        <v>1082</v>
      </c>
      <c r="N21" s="92" t="s">
        <v>163</v>
      </c>
      <c r="O21" s="92" t="s">
        <v>517</v>
      </c>
      <c r="P21" s="93" t="s">
        <v>6</v>
      </c>
      <c r="R21" s="52" t="s">
        <v>321</v>
      </c>
      <c r="S21" s="53" t="s">
        <v>430</v>
      </c>
      <c r="T21" s="52" t="s">
        <v>966</v>
      </c>
      <c r="W21" s="50" t="str">
        <f t="array" ref="W21">IF($V$2=0,"",IFERROR(INDEX($B$3:$C$520,SMALL(IF($B$3:$B$520=$V$2,ROW($B$3:$B$520)-2),ROW(B19)),2),""))</f>
        <v>O-221</v>
      </c>
      <c r="Z21" s="50" t="str">
        <f t="array" ref="Z21">IF($Y$2=0,"",IFERROR(INDEX($E$3:$F$114,SMALL(IF($E$3:$E$114=$Y$2,ROW($E$3:$E$114)-2),ROW(E19)),2),""))</f>
        <v/>
      </c>
      <c r="AC21" s="71"/>
      <c r="AF21" s="71"/>
      <c r="AL21" s="87" t="str">
        <f t="array" ref="AL21">IF($AK$2=0,"",IFERROR(INDEX($N$3:$O$499,SMALL(IF($N$3:$N$499=$AK$2,ROW($N$3:$N$499)-2),ROW(N19)),2),""))</f>
        <v>GW573-S0010</v>
      </c>
      <c r="AO21" s="55" t="str">
        <f t="array" ref="AO21">IF($AN$2=0,"",IFERROR(INDEX($S$3:$T$366,SMALL(IF($R$3:$R$366=$AN$2,ROW($R$3:$R$366)-2),ROW(T19)),2),""))</f>
        <v>Operacional</v>
      </c>
      <c r="AP21" s="56" t="str">
        <f t="array" ref="AP21">IF($AN$2=0,"",IFERROR(INDEX($R$3:$S$366,SMALL(IF($R$3:$R$366=$AN$2,ROW($R$3:$R$366)-2),ROW(S19)),2),""))</f>
        <v>Negligencia IT</v>
      </c>
      <c r="AR21" s="64" t="str">
        <f t="array" ref="AR21">IF($AN$2=0,"",IFERROR(INDEX($AO$3:$AP$62,SMALL(IF($AO$3:$AO$62=$AR$2,ROW($AO$3:$AO$62)-2),ROW(AO19)),2),""))</f>
        <v/>
      </c>
      <c r="AS21" s="65" t="str">
        <f t="array" ref="AS21">IF($AN$2=0,"",IFERROR(INDEX($AO$3:$AP$62,SMALL(IF($AO$3:$AO$62=$AS$2,ROW($AO$3:$AO$62)-2),ROW(AO19)),2),""))</f>
        <v/>
      </c>
      <c r="AT21" s="66" t="str">
        <f t="array" ref="AT21">IF($AN$2=0,"",IFERROR(INDEX($AO$3:$AP$62,SMALL(IF($AO$3:$AO$62=$AT$2,ROW($AO$3:$AO$62)-2),ROW(AO19)),2),""))</f>
        <v/>
      </c>
      <c r="AU21" s="67" t="str">
        <f t="array" ref="AU21">IF($AN$2=0,"",IFERROR(INDEX($AO$3:$AP$62,SMALL(IF($AO$3:$AO$62=$AU$2,ROW($AO$3:$AO$62)-2),ROW(AO19)),2),""))</f>
        <v/>
      </c>
      <c r="AV21" s="68" t="str">
        <f t="array" ref="AV21">IF($AN$2=0,"",IFERROR(INDEX($AO$3:$AP$62,SMALL(IF($AO$3:$AO$62=$AV$2,ROW($AO$3:$AO$62)-2),ROW(AO19)),2),""))</f>
        <v/>
      </c>
      <c r="AW21" s="69" t="str">
        <f t="array" ref="AW21">IF($AN$2=0,"",IFERROR(INDEX($AO$3:$AP$62,SMALL(IF($AO$3:$AO$62=$AW$2,ROW($AO$3:$AO$62)-2),ROW(AO19)),2),""))</f>
        <v/>
      </c>
      <c r="AX21" s="70" t="str">
        <f t="array" ref="AX21">IF($AN$2=0,"",IFERROR(INDEX($AO$3:$AP$62,SMALL(IF($AO$3:$AO$62=$AX$2,ROW($AO$3:$AO$62)-2),ROW(AO19)),2),""))</f>
        <v/>
      </c>
    </row>
    <row r="22" spans="2:50">
      <c r="B22" s="24" t="s">
        <v>92</v>
      </c>
      <c r="C22" s="24" t="s">
        <v>70</v>
      </c>
      <c r="E22" s="85" t="s">
        <v>60</v>
      </c>
      <c r="F22" s="85" t="s">
        <v>701</v>
      </c>
      <c r="H22" s="29" t="s">
        <v>273</v>
      </c>
      <c r="I22" s="270" t="s">
        <v>1079</v>
      </c>
      <c r="K22" s="241" t="s">
        <v>92</v>
      </c>
      <c r="L22" s="272" t="s">
        <v>1084</v>
      </c>
      <c r="N22" s="92" t="s">
        <v>163</v>
      </c>
      <c r="O22" s="92" t="s">
        <v>512</v>
      </c>
      <c r="P22" s="93" t="s">
        <v>6</v>
      </c>
      <c r="R22" s="52" t="s">
        <v>321</v>
      </c>
      <c r="S22" s="53" t="s">
        <v>894</v>
      </c>
      <c r="T22" s="52" t="s">
        <v>966</v>
      </c>
      <c r="W22" s="50" t="str">
        <f t="array" ref="W22">IF($V$2=0,"",IFERROR(INDEX($B$3:$C$520,SMALL(IF($B$3:$B$520=$V$2,ROW($B$3:$B$520)-2),ROW(B20)),2),""))</f>
        <v>O-222</v>
      </c>
      <c r="Z22" s="50" t="str">
        <f t="array" ref="Z22">IF($Y$2=0,"",IFERROR(INDEX($E$3:$F$114,SMALL(IF($E$3:$E$114=$Y$2,ROW($E$3:$E$114)-2),ROW(E20)),2),""))</f>
        <v/>
      </c>
      <c r="AC22" s="71"/>
      <c r="AF22" s="71"/>
      <c r="AL22" s="87" t="str">
        <f t="array" ref="AL22">IF($AK$2=0,"",IFERROR(INDEX($N$3:$O$499,SMALL(IF($N$3:$N$499=$AK$2,ROW($N$3:$N$499)-2),ROW(N20)),2),""))</f>
        <v>GW612-S0010</v>
      </c>
      <c r="AO22" s="55" t="str">
        <f t="array" ref="AO22">IF($AN$2=0,"",IFERROR(INDEX($S$3:$T$366,SMALL(IF($R$3:$R$366=$AN$2,ROW($R$3:$R$366)-2),ROW(T20)),2),""))</f>
        <v>Funcional</v>
      </c>
      <c r="AP22" s="56" t="str">
        <f t="array" ref="AP22">IF($AN$2=0,"",IFERROR(INDEX($R$3:$S$366,SMALL(IF($R$3:$R$366=$AN$2,ROW($R$3:$R$366)-2),ROW(S20)),2),""))</f>
        <v>2S1Y</v>
      </c>
      <c r="AR22" s="64" t="str">
        <f t="array" ref="AR22">IF($AN$2=0,"",IFERROR(INDEX($AO$3:$AP$62,SMALL(IF($AO$3:$AO$62=$AR$2,ROW($AO$3:$AO$62)-2),ROW(AO20)),2),""))</f>
        <v/>
      </c>
      <c r="AS22" s="65" t="str">
        <f t="array" ref="AS22">IF($AN$2=0,"",IFERROR(INDEX($AO$3:$AP$62,SMALL(IF($AO$3:$AO$62=$AS$2,ROW($AO$3:$AO$62)-2),ROW(AO20)),2),""))</f>
        <v/>
      </c>
      <c r="AT22" s="66" t="str">
        <f t="array" ref="AT22">IF($AN$2=0,"",IFERROR(INDEX($AO$3:$AP$62,SMALL(IF($AO$3:$AO$62=$AT$2,ROW($AO$3:$AO$62)-2),ROW(AO20)),2),""))</f>
        <v/>
      </c>
      <c r="AU22" s="67" t="str">
        <f t="array" ref="AU22">IF($AN$2=0,"",IFERROR(INDEX($AO$3:$AP$62,SMALL(IF($AO$3:$AO$62=$AU$2,ROW($AO$3:$AO$62)-2),ROW(AO20)),2),""))</f>
        <v/>
      </c>
      <c r="AV22" s="68" t="str">
        <f t="array" ref="AV22">IF($AN$2=0,"",IFERROR(INDEX($AO$3:$AP$62,SMALL(IF($AO$3:$AO$62=$AV$2,ROW($AO$3:$AO$62)-2),ROW(AO20)),2),""))</f>
        <v/>
      </c>
      <c r="AW22" s="69" t="str">
        <f t="array" ref="AW22">IF($AN$2=0,"",IFERROR(INDEX($AO$3:$AP$62,SMALL(IF($AO$3:$AO$62=$AW$2,ROW($AO$3:$AO$62)-2),ROW(AO20)),2),""))</f>
        <v/>
      </c>
      <c r="AX22" s="70" t="str">
        <f t="array" ref="AX22">IF($AN$2=0,"",IFERROR(INDEX($AO$3:$AP$62,SMALL(IF($AO$3:$AO$62=$AX$2,ROW($AO$3:$AO$62)-2),ROW(AO20)),2),""))</f>
        <v/>
      </c>
    </row>
    <row r="23" spans="2:50">
      <c r="B23" s="24" t="s">
        <v>92</v>
      </c>
      <c r="C23" s="24" t="s">
        <v>71</v>
      </c>
      <c r="E23" s="85" t="s">
        <v>60</v>
      </c>
      <c r="F23" s="85" t="s">
        <v>702</v>
      </c>
      <c r="H23" s="29" t="s">
        <v>272</v>
      </c>
      <c r="I23" s="270" t="s">
        <v>453</v>
      </c>
      <c r="K23" s="241" t="s">
        <v>92</v>
      </c>
      <c r="L23" s="272" t="s">
        <v>1085</v>
      </c>
      <c r="N23" s="92" t="s">
        <v>60</v>
      </c>
      <c r="O23" s="92" t="s">
        <v>550</v>
      </c>
      <c r="P23" s="93" t="s">
        <v>6</v>
      </c>
      <c r="R23" s="52" t="s">
        <v>321</v>
      </c>
      <c r="S23" s="53" t="s">
        <v>432</v>
      </c>
      <c r="T23" s="52" t="s">
        <v>966</v>
      </c>
      <c r="W23" s="50" t="str">
        <f t="array" ref="W23">IF($V$2=0,"",IFERROR(INDEX($B$3:$C$520,SMALL(IF($B$3:$B$520=$V$2,ROW($B$3:$B$520)-2),ROW(B21)),2),""))</f>
        <v>O-223</v>
      </c>
      <c r="Z23" s="50" t="str">
        <f t="array" ref="Z23">IF($Y$2=0,"",IFERROR(INDEX($E$3:$F$114,SMALL(IF($E$3:$E$114=$Y$2,ROW($E$3:$E$114)-2),ROW(E21)),2),""))</f>
        <v/>
      </c>
      <c r="AC23" s="71"/>
      <c r="AF23" s="71"/>
      <c r="AL23" s="87" t="str">
        <f t="array" ref="AL23">IF($AK$2=0,"",IFERROR(INDEX($N$3:$O$499,SMALL(IF($N$3:$N$499=$AK$2,ROW($N$3:$N$499)-2),ROW(N21)),2),""))</f>
        <v>S24A5-87630</v>
      </c>
      <c r="AO23" s="55" t="str">
        <f t="array" ref="AO23">IF($AN$2=0,"",IFERROR(INDEX($S$3:$T$366,SMALL(IF($R$3:$R$366=$AN$2,ROW($R$3:$R$366)-2),ROW(T21)),2),""))</f>
        <v>Funcional</v>
      </c>
      <c r="AP23" s="56" t="str">
        <f t="array" ref="AP23">IF($AN$2=0,"",IFERROR(INDEX($R$3:$S$366,SMALL(IF($R$3:$R$366=$AN$2,ROW($R$3:$R$366)-2),ROW(S21)),2),""))</f>
        <v>Senbetsu</v>
      </c>
      <c r="AR23" s="64" t="str">
        <f t="array" ref="AR23">IF($AN$2=0,"",IFERROR(INDEX($AO$3:$AP$62,SMALL(IF($AO$3:$AO$62=$AR$2,ROW($AO$3:$AO$62)-2),ROW(AO21)),2),""))</f>
        <v/>
      </c>
      <c r="AS23" s="65" t="str">
        <f t="array" ref="AS23">IF($AN$2=0,"",IFERROR(INDEX($AO$3:$AP$62,SMALL(IF($AO$3:$AO$62=$AS$2,ROW($AO$3:$AO$62)-2),ROW(AO21)),2),""))</f>
        <v/>
      </c>
      <c r="AT23" s="66" t="str">
        <f t="array" ref="AT23">IF($AN$2=0,"",IFERROR(INDEX($AO$3:$AP$62,SMALL(IF($AO$3:$AO$62=$AT$2,ROW($AO$3:$AO$62)-2),ROW(AO21)),2),""))</f>
        <v/>
      </c>
      <c r="AU23" s="67" t="str">
        <f t="array" ref="AU23">IF($AN$2=0,"",IFERROR(INDEX($AO$3:$AP$62,SMALL(IF($AO$3:$AO$62=$AU$2,ROW($AO$3:$AO$62)-2),ROW(AO21)),2),""))</f>
        <v/>
      </c>
      <c r="AV23" s="68" t="str">
        <f t="array" ref="AV23">IF($AN$2=0,"",IFERROR(INDEX($AO$3:$AP$62,SMALL(IF($AO$3:$AO$62=$AV$2,ROW($AO$3:$AO$62)-2),ROW(AO21)),2),""))</f>
        <v/>
      </c>
      <c r="AW23" s="69" t="str">
        <f t="array" ref="AW23">IF($AN$2=0,"",IFERROR(INDEX($AO$3:$AP$62,SMALL(IF($AO$3:$AO$62=$AW$2,ROW($AO$3:$AO$62)-2),ROW(AO21)),2),""))</f>
        <v/>
      </c>
      <c r="AX23" s="70" t="str">
        <f t="array" ref="AX23">IF($AN$2=0,"",IFERROR(INDEX($AO$3:$AP$62,SMALL(IF($AO$3:$AO$62=$AX$2,ROW($AO$3:$AO$62)-2),ROW(AO21)),2),""))</f>
        <v/>
      </c>
    </row>
    <row r="24" spans="2:50">
      <c r="B24" s="24" t="s">
        <v>92</v>
      </c>
      <c r="C24" s="24" t="s">
        <v>1032</v>
      </c>
      <c r="E24" s="85" t="s">
        <v>60</v>
      </c>
      <c r="F24" s="85" t="s">
        <v>703</v>
      </c>
      <c r="H24" s="29" t="s">
        <v>272</v>
      </c>
      <c r="I24" s="270" t="s">
        <v>437</v>
      </c>
      <c r="K24" s="241" t="s">
        <v>92</v>
      </c>
      <c r="L24" s="272" t="s">
        <v>1086</v>
      </c>
      <c r="N24" s="92" t="s">
        <v>272</v>
      </c>
      <c r="O24" s="92" t="s">
        <v>625</v>
      </c>
      <c r="P24" s="93" t="s">
        <v>1057</v>
      </c>
      <c r="R24" s="52" t="s">
        <v>321</v>
      </c>
      <c r="S24" s="53" t="s">
        <v>433</v>
      </c>
      <c r="T24" s="52" t="s">
        <v>966</v>
      </c>
      <c r="W24" s="50" t="str">
        <f t="array" ref="W24">IF($V$2=0,"",IFERROR(INDEX($B$3:$C$520,SMALL(IF($B$3:$B$520=$V$2,ROW($B$3:$B$520)-2),ROW(B22)),2),""))</f>
        <v>O-224</v>
      </c>
      <c r="Z24" s="50" t="str">
        <f t="array" ref="Z24">IF($Y$2=0,"",IFERROR(INDEX($E$3:$F$114,SMALL(IF($E$3:$E$114=$Y$2,ROW($E$3:$E$114)-2),ROW(E22)),2),""))</f>
        <v/>
      </c>
      <c r="AC24" s="71"/>
      <c r="AF24" s="71"/>
      <c r="AL24" s="87" t="str">
        <f t="array" ref="AL24">IF($AK$2=0,"",IFERROR(INDEX($N$3:$O$499,SMALL(IF($N$3:$N$499=$AK$2,ROW($N$3:$N$499)-2),ROW(N22)),2),""))</f>
        <v>O-201</v>
      </c>
      <c r="AO24" s="55" t="str">
        <f t="array" ref="AO24">IF($AN$2=0,"",IFERROR(INDEX($S$3:$T$366,SMALL(IF($R$3:$R$366=$AN$2,ROW($R$3:$R$366)-2),ROW(T22)),2),""))</f>
        <v>Funcional</v>
      </c>
      <c r="AP24" s="56" t="str">
        <f t="array" ref="AP24">IF($AN$2=0,"",IFERROR(INDEX($R$3:$S$366,SMALL(IF($R$3:$R$366=$AN$2,ROW($R$3:$R$366)-2),ROW(S22)),2),""))</f>
        <v>Reuniao</v>
      </c>
      <c r="AR24" s="64" t="str">
        <f t="array" ref="AR24">IF($AN$2=0,"",IFERROR(INDEX($AO$3:$AP$62,SMALL(IF($AO$3:$AO$62=$AR$2,ROW($AO$3:$AO$62)-2),ROW(AO22)),2),""))</f>
        <v/>
      </c>
      <c r="AS24" s="65" t="str">
        <f t="array" ref="AS24">IF($AN$2=0,"",IFERROR(INDEX($AO$3:$AP$62,SMALL(IF($AO$3:$AO$62=$AS$2,ROW($AO$3:$AO$62)-2),ROW(AO22)),2),""))</f>
        <v/>
      </c>
      <c r="AT24" s="66" t="str">
        <f t="array" ref="AT24">IF($AN$2=0,"",IFERROR(INDEX($AO$3:$AP$62,SMALL(IF($AO$3:$AO$62=$AT$2,ROW($AO$3:$AO$62)-2),ROW(AO22)),2),""))</f>
        <v/>
      </c>
      <c r="AU24" s="67" t="str">
        <f t="array" ref="AU24">IF($AN$2=0,"",IFERROR(INDEX($AO$3:$AP$62,SMALL(IF($AO$3:$AO$62=$AU$2,ROW($AO$3:$AO$62)-2),ROW(AO22)),2),""))</f>
        <v/>
      </c>
      <c r="AV24" s="68" t="str">
        <f t="array" ref="AV24">IF($AN$2=0,"",IFERROR(INDEX($AO$3:$AP$62,SMALL(IF($AO$3:$AO$62=$AV$2,ROW($AO$3:$AO$62)-2),ROW(AO22)),2),""))</f>
        <v/>
      </c>
      <c r="AW24" s="69" t="str">
        <f t="array" ref="AW24">IF($AN$2=0,"",IFERROR(INDEX($AO$3:$AP$62,SMALL(IF($AO$3:$AO$62=$AW$2,ROW($AO$3:$AO$62)-2),ROW(AO22)),2),""))</f>
        <v/>
      </c>
      <c r="AX24" s="70" t="str">
        <f t="array" ref="AX24">IF($AN$2=0,"",IFERROR(INDEX($AO$3:$AP$62,SMALL(IF($AO$3:$AO$62=$AX$2,ROW($AO$3:$AO$62)-2),ROW(AO22)),2),""))</f>
        <v/>
      </c>
    </row>
    <row r="25" spans="2:50">
      <c r="B25" s="24" t="s">
        <v>163</v>
      </c>
      <c r="C25" s="24" t="s">
        <v>164</v>
      </c>
      <c r="E25" s="85" t="s">
        <v>60</v>
      </c>
      <c r="F25" s="85" t="s">
        <v>704</v>
      </c>
      <c r="H25" s="29" t="s">
        <v>272</v>
      </c>
      <c r="I25" s="270" t="s">
        <v>1066</v>
      </c>
      <c r="K25" s="241" t="s">
        <v>60</v>
      </c>
      <c r="L25" s="272" t="s">
        <v>201</v>
      </c>
      <c r="N25" s="92" t="s">
        <v>272</v>
      </c>
      <c r="O25" s="92" t="s">
        <v>626</v>
      </c>
      <c r="P25" s="93" t="s">
        <v>1057</v>
      </c>
      <c r="R25" s="52" t="s">
        <v>321</v>
      </c>
      <c r="S25" s="53" t="s">
        <v>930</v>
      </c>
      <c r="T25" s="52" t="s">
        <v>966</v>
      </c>
      <c r="W25" s="50" t="str">
        <f t="array" ref="W25">IF($V$2=0,"",IFERROR(INDEX($B$3:$C$520,SMALL(IF($B$3:$B$520=$V$2,ROW($B$3:$B$520)-2),ROW(B23)),2),""))</f>
        <v>O-225</v>
      </c>
      <c r="Z25" s="50" t="str">
        <f t="array" ref="Z25">IF($Y$2=0,"",IFERROR(INDEX($E$3:$F$114,SMALL(IF($E$3:$E$114=$Y$2,ROW($E$3:$E$114)-2),ROW(E23)),2),""))</f>
        <v/>
      </c>
      <c r="AC25" s="71"/>
      <c r="AF25" s="71"/>
      <c r="AL25" s="87" t="str">
        <f t="array" ref="AL25">IF($AK$2=0,"",IFERROR(INDEX($N$3:$O$499,SMALL(IF($N$3:$N$499=$AK$2,ROW($N$3:$N$499)-2),ROW(N23)),2),""))</f>
        <v>O-203</v>
      </c>
      <c r="AO25" s="55" t="str">
        <f t="array" ref="AO25">IF($AN$2=0,"",IFERROR(INDEX($S$3:$T$366,SMALL(IF($R$3:$R$366=$AN$2,ROW($R$3:$R$366)-2),ROW(T23)),2),""))</f>
        <v>Funcional</v>
      </c>
      <c r="AP25" s="56" t="str">
        <f t="array" ref="AP25">IF($AN$2=0,"",IFERROR(INDEX($R$3:$S$366,SMALL(IF($R$3:$R$366=$AN$2,ROW($R$3:$R$366)-2),ROW(S23)),2),""))</f>
        <v>Falta Colaborador</v>
      </c>
      <c r="AR25" s="64" t="str">
        <f t="array" ref="AR25">IF($AN$2=0,"",IFERROR(INDEX($AO$3:$AP$62,SMALL(IF($AO$3:$AO$62=$AR$2,ROW($AO$3:$AO$62)-2),ROW(AO23)),2),""))</f>
        <v/>
      </c>
      <c r="AS25" s="65" t="str">
        <f t="array" ref="AS25">IF($AN$2=0,"",IFERROR(INDEX($AO$3:$AP$62,SMALL(IF($AO$3:$AO$62=$AS$2,ROW($AO$3:$AO$62)-2),ROW(AO23)),2),""))</f>
        <v/>
      </c>
      <c r="AT25" s="66" t="str">
        <f t="array" ref="AT25">IF($AN$2=0,"",IFERROR(INDEX($AO$3:$AP$62,SMALL(IF($AO$3:$AO$62=$AT$2,ROW($AO$3:$AO$62)-2),ROW(AO23)),2),""))</f>
        <v/>
      </c>
      <c r="AU25" s="67" t="str">
        <f t="array" ref="AU25">IF($AN$2=0,"",IFERROR(INDEX($AO$3:$AP$62,SMALL(IF($AO$3:$AO$62=$AU$2,ROW($AO$3:$AO$62)-2),ROW(AO23)),2),""))</f>
        <v/>
      </c>
      <c r="AV25" s="68" t="str">
        <f t="array" ref="AV25">IF($AN$2=0,"",IFERROR(INDEX($AO$3:$AP$62,SMALL(IF($AO$3:$AO$62=$AV$2,ROW($AO$3:$AO$62)-2),ROW(AO23)),2),""))</f>
        <v/>
      </c>
      <c r="AW25" s="69" t="str">
        <f t="array" ref="AW25">IF($AN$2=0,"",IFERROR(INDEX($AO$3:$AP$62,SMALL(IF($AO$3:$AO$62=$AW$2,ROW($AO$3:$AO$62)-2),ROW(AO23)),2),""))</f>
        <v/>
      </c>
      <c r="AX25" s="70" t="str">
        <f t="array" ref="AX25">IF($AN$2=0,"",IFERROR(INDEX($AO$3:$AP$62,SMALL(IF($AO$3:$AO$62=$AX$2,ROW($AO$3:$AO$62)-2),ROW(AO23)),2),""))</f>
        <v/>
      </c>
    </row>
    <row r="26" spans="2:50">
      <c r="B26" s="24" t="s">
        <v>163</v>
      </c>
      <c r="C26" s="24" t="s">
        <v>165</v>
      </c>
      <c r="E26" s="85" t="s">
        <v>60</v>
      </c>
      <c r="F26" s="85" t="s">
        <v>713</v>
      </c>
      <c r="H26" s="29" t="s">
        <v>272</v>
      </c>
      <c r="I26" s="270" t="s">
        <v>438</v>
      </c>
      <c r="K26" s="241" t="s">
        <v>60</v>
      </c>
      <c r="L26" s="272" t="s">
        <v>202</v>
      </c>
      <c r="N26" s="92" t="s">
        <v>272</v>
      </c>
      <c r="O26" s="92" t="s">
        <v>805</v>
      </c>
      <c r="P26" s="93" t="s">
        <v>1057</v>
      </c>
      <c r="R26" s="52" t="s">
        <v>321</v>
      </c>
      <c r="S26" s="53" t="s">
        <v>895</v>
      </c>
      <c r="T26" s="52" t="s">
        <v>966</v>
      </c>
      <c r="W26" s="50" t="str">
        <f t="array" ref="W26">IF($V$2=0,"",IFERROR(INDEX($B$3:$C$520,SMALL(IF($B$3:$B$520=$V$2,ROW($B$3:$B$520)-2),ROW(B24)),2),""))</f>
        <v>O-226</v>
      </c>
      <c r="Z26" s="50" t="str">
        <f t="array" ref="Z26">IF($Y$2=0,"",IFERROR(INDEX($E$3:$F$114,SMALL(IF($E$3:$E$114=$Y$2,ROW($E$3:$E$114)-2),ROW(E24)),2),""))</f>
        <v/>
      </c>
      <c r="AC26" s="71"/>
      <c r="AF26" s="71"/>
      <c r="AL26" s="87" t="str">
        <f t="array" ref="AL26">IF($AK$2=0,"",IFERROR(INDEX($N$3:$O$499,SMALL(IF($N$3:$N$499=$AK$2,ROW($N$3:$N$499)-2),ROW(N24)),2),""))</f>
        <v>O-206</v>
      </c>
      <c r="AO26" s="55" t="str">
        <f t="array" ref="AO26">IF($AN$2=0,"",IFERROR(INDEX($S$3:$T$366,SMALL(IF($R$3:$R$366=$AN$2,ROW($R$3:$R$366)-2),ROW(T24)),2),""))</f>
        <v>Abastecimento</v>
      </c>
      <c r="AP26" s="56" t="str">
        <f t="array" ref="AP26">IF($AN$2=0,"",IFERROR(INDEX($R$3:$S$366,SMALL(IF($R$3:$R$366=$AN$2,ROW($R$3:$R$366)-2),ROW(S24)),2),""))</f>
        <v>Falta Embalagem</v>
      </c>
      <c r="AR26" s="64" t="str">
        <f t="array" ref="AR26">IF($AN$2=0,"",IFERROR(INDEX($AO$3:$AP$62,SMALL(IF($AO$3:$AO$62=$AR$2,ROW($AO$3:$AO$62)-2),ROW(AO24)),2),""))</f>
        <v/>
      </c>
      <c r="AS26" s="65" t="str">
        <f t="array" ref="AS26">IF($AN$2=0,"",IFERROR(INDEX($AO$3:$AP$62,SMALL(IF($AO$3:$AO$62=$AS$2,ROW($AO$3:$AO$62)-2),ROW(AO24)),2),""))</f>
        <v/>
      </c>
      <c r="AT26" s="66" t="str">
        <f t="array" ref="AT26">IF($AN$2=0,"",IFERROR(INDEX($AO$3:$AP$62,SMALL(IF($AO$3:$AO$62=$AT$2,ROW($AO$3:$AO$62)-2),ROW(AO24)),2),""))</f>
        <v/>
      </c>
      <c r="AU26" s="67" t="str">
        <f t="array" ref="AU26">IF($AN$2=0,"",IFERROR(INDEX($AO$3:$AP$62,SMALL(IF($AO$3:$AO$62=$AU$2,ROW($AO$3:$AO$62)-2),ROW(AO24)),2),""))</f>
        <v/>
      </c>
      <c r="AV26" s="68" t="str">
        <f t="array" ref="AV26">IF($AN$2=0,"",IFERROR(INDEX($AO$3:$AP$62,SMALL(IF($AO$3:$AO$62=$AV$2,ROW($AO$3:$AO$62)-2),ROW(AO24)),2),""))</f>
        <v/>
      </c>
      <c r="AW26" s="69" t="str">
        <f t="array" ref="AW26">IF($AN$2=0,"",IFERROR(INDEX($AO$3:$AP$62,SMALL(IF($AO$3:$AO$62=$AW$2,ROW($AO$3:$AO$62)-2),ROW(AO24)),2),""))</f>
        <v/>
      </c>
      <c r="AX26" s="70" t="str">
        <f t="array" ref="AX26">IF($AN$2=0,"",IFERROR(INDEX($AO$3:$AP$62,SMALL(IF($AO$3:$AO$62=$AX$2,ROW($AO$3:$AO$62)-2),ROW(AO24)),2),""))</f>
        <v/>
      </c>
    </row>
    <row r="27" spans="2:50">
      <c r="B27" s="24" t="s">
        <v>163</v>
      </c>
      <c r="C27" s="24" t="s">
        <v>166</v>
      </c>
      <c r="E27" s="85" t="s">
        <v>60</v>
      </c>
      <c r="F27" s="85" t="s">
        <v>714</v>
      </c>
      <c r="H27" s="29" t="s">
        <v>272</v>
      </c>
      <c r="I27" s="270" t="s">
        <v>206</v>
      </c>
      <c r="K27" s="241" t="s">
        <v>60</v>
      </c>
      <c r="L27" s="272" t="s">
        <v>203</v>
      </c>
      <c r="N27" s="92" t="s">
        <v>272</v>
      </c>
      <c r="O27" s="92" t="s">
        <v>806</v>
      </c>
      <c r="P27" s="93" t="s">
        <v>1057</v>
      </c>
      <c r="R27" s="52" t="s">
        <v>321</v>
      </c>
      <c r="S27" s="53" t="s">
        <v>931</v>
      </c>
      <c r="T27" s="52" t="s">
        <v>966</v>
      </c>
      <c r="W27" s="50" t="str">
        <f t="array" ref="W27">IF($V$2=0,"",IFERROR(INDEX($B$3:$C$520,SMALL(IF($B$3:$B$520=$V$2,ROW($B$3:$B$520)-2),ROW(B25)),2),""))</f>
        <v>O-227</v>
      </c>
      <c r="Z27" s="50" t="str">
        <f t="array" ref="Z27">IF($Y$2=0,"",IFERROR(INDEX($E$3:$F$114,SMALL(IF($E$3:$E$114=$Y$2,ROW($E$3:$E$114)-2),ROW(E25)),2),""))</f>
        <v/>
      </c>
      <c r="AC27" s="71"/>
      <c r="AF27" s="71"/>
      <c r="AL27" s="87" t="str">
        <f t="array" ref="AL27">IF($AK$2=0,"",IFERROR(INDEX($N$3:$O$499,SMALL(IF($N$3:$N$499=$AK$2,ROW($N$3:$N$499)-2),ROW(N25)),2),""))</f>
        <v>O-207</v>
      </c>
      <c r="AO27" s="55" t="str">
        <f t="array" ref="AO27">IF($AN$2=0,"",IFERROR(INDEX($S$3:$T$366,SMALL(IF($R$3:$R$366=$AN$2,ROW($R$3:$R$366)-2),ROW(T25)),2),""))</f>
        <v>Abastecimento</v>
      </c>
      <c r="AP27" s="56" t="str">
        <f t="array" ref="AP27">IF($AN$2=0,"",IFERROR(INDEX($R$3:$S$366,SMALL(IF($R$3:$R$366=$AN$2,ROW($R$3:$R$366)-2),ROW(S25)),2),""))</f>
        <v>Falta Materia Prima</v>
      </c>
      <c r="AR27" s="64" t="str">
        <f t="array" ref="AR27">IF($AN$2=0,"",IFERROR(INDEX($AO$3:$AP$62,SMALL(IF($AO$3:$AO$62=$AR$2,ROW($AO$3:$AO$62)-2),ROW(AO25)),2),""))</f>
        <v/>
      </c>
      <c r="AS27" s="65" t="str">
        <f t="array" ref="AS27">IF($AN$2=0,"",IFERROR(INDEX($AO$3:$AP$62,SMALL(IF($AO$3:$AO$62=$AS$2,ROW($AO$3:$AO$62)-2),ROW(AO25)),2),""))</f>
        <v/>
      </c>
      <c r="AT27" s="66" t="str">
        <f t="array" ref="AT27">IF($AN$2=0,"",IFERROR(INDEX($AO$3:$AP$62,SMALL(IF($AO$3:$AO$62=$AT$2,ROW($AO$3:$AO$62)-2),ROW(AO25)),2),""))</f>
        <v/>
      </c>
      <c r="AU27" s="67" t="str">
        <f t="array" ref="AU27">IF($AN$2=0,"",IFERROR(INDEX($AO$3:$AP$62,SMALL(IF($AO$3:$AO$62=$AU$2,ROW($AO$3:$AO$62)-2),ROW(AO25)),2),""))</f>
        <v/>
      </c>
      <c r="AV27" s="68" t="str">
        <f t="array" ref="AV27">IF($AN$2=0,"",IFERROR(INDEX($AO$3:$AP$62,SMALL(IF($AO$3:$AO$62=$AV$2,ROW($AO$3:$AO$62)-2),ROW(AO25)),2),""))</f>
        <v/>
      </c>
      <c r="AW27" s="69" t="str">
        <f t="array" ref="AW27">IF($AN$2=0,"",IFERROR(INDEX($AO$3:$AP$62,SMALL(IF($AO$3:$AO$62=$AW$2,ROW($AO$3:$AO$62)-2),ROW(AO25)),2),""))</f>
        <v/>
      </c>
      <c r="AX27" s="70" t="str">
        <f t="array" ref="AX27">IF($AN$2=0,"",IFERROR(INDEX($AO$3:$AP$62,SMALL(IF($AO$3:$AO$62=$AX$2,ROW($AO$3:$AO$62)-2),ROW(AO25)),2),""))</f>
        <v/>
      </c>
    </row>
    <row r="28" spans="2:50">
      <c r="B28" s="24" t="s">
        <v>163</v>
      </c>
      <c r="C28" s="24" t="s">
        <v>167</v>
      </c>
      <c r="E28" s="85" t="s">
        <v>60</v>
      </c>
      <c r="F28" s="85" t="s">
        <v>715</v>
      </c>
      <c r="H28" s="29" t="s">
        <v>272</v>
      </c>
      <c r="I28" s="270" t="s">
        <v>439</v>
      </c>
      <c r="K28" s="241" t="s">
        <v>60</v>
      </c>
      <c r="L28" s="272" t="s">
        <v>1088</v>
      </c>
      <c r="N28" s="92" t="s">
        <v>321</v>
      </c>
      <c r="O28" s="92" t="s">
        <v>564</v>
      </c>
      <c r="P28" s="93" t="s">
        <v>1057</v>
      </c>
      <c r="R28" s="52" t="s">
        <v>321</v>
      </c>
      <c r="S28" s="53" t="s">
        <v>896</v>
      </c>
      <c r="T28" s="52" t="s">
        <v>966</v>
      </c>
      <c r="W28" s="50" t="str">
        <f t="array" ref="W28">IF($V$2=0,"",IFERROR(INDEX($B$3:$C$520,SMALL(IF($B$3:$B$520=$V$2,ROW($B$3:$B$520)-2),ROW(B26)),2),""))</f>
        <v>O-228</v>
      </c>
      <c r="Z28" s="50" t="str">
        <f t="array" ref="Z28">IF($Y$2=0,"",IFERROR(INDEX($E$3:$F$114,SMALL(IF($E$3:$E$114=$Y$2,ROW($E$3:$E$114)-2),ROW(E26)),2),""))</f>
        <v/>
      </c>
      <c r="AC28" s="71"/>
      <c r="AF28" s="71"/>
      <c r="AL28" s="87" t="str">
        <f t="array" ref="AL28">IF($AK$2=0,"",IFERROR(INDEX($N$3:$O$499,SMALL(IF($N$3:$N$499=$AK$2,ROW($N$3:$N$499)-2),ROW(N26)),2),""))</f>
        <v>O-208</v>
      </c>
      <c r="AO28" s="55" t="str">
        <f t="array" ref="AO28">IF($AN$2=0,"",IFERROR(INDEX($S$3:$T$366,SMALL(IF($R$3:$R$366=$AN$2,ROW($R$3:$R$366)-2),ROW(T26)),2),""))</f>
        <v>Abastecimento</v>
      </c>
      <c r="AP28" s="56" t="str">
        <f t="array" ref="AP28">IF($AN$2=0,"",IFERROR(INDEX($R$3:$S$366,SMALL(IF($R$3:$R$366=$AN$2,ROW($R$3:$R$366)-2),ROW(S26)),2),""))</f>
        <v>Falta Componente</v>
      </c>
      <c r="AR28" s="64" t="str">
        <f t="array" ref="AR28">IF($AN$2=0,"",IFERROR(INDEX($AO$3:$AP$62,SMALL(IF($AO$3:$AO$62=$AR$2,ROW($AO$3:$AO$62)-2),ROW(AO26)),2),""))</f>
        <v/>
      </c>
      <c r="AS28" s="65" t="str">
        <f t="array" ref="AS28">IF($AN$2=0,"",IFERROR(INDEX($AO$3:$AP$62,SMALL(IF($AO$3:$AO$62=$AS$2,ROW($AO$3:$AO$62)-2),ROW(AO26)),2),""))</f>
        <v/>
      </c>
      <c r="AT28" s="66" t="str">
        <f t="array" ref="AT28">IF($AN$2=0,"",IFERROR(INDEX($AO$3:$AP$62,SMALL(IF($AO$3:$AO$62=$AT$2,ROW($AO$3:$AO$62)-2),ROW(AO26)),2),""))</f>
        <v/>
      </c>
      <c r="AU28" s="67" t="str">
        <f t="array" ref="AU28">IF($AN$2=0,"",IFERROR(INDEX($AO$3:$AP$62,SMALL(IF($AO$3:$AO$62=$AU$2,ROW($AO$3:$AO$62)-2),ROW(AO26)),2),""))</f>
        <v/>
      </c>
      <c r="AV28" s="68" t="str">
        <f t="array" ref="AV28">IF($AN$2=0,"",IFERROR(INDEX($AO$3:$AP$62,SMALL(IF($AO$3:$AO$62=$AV$2,ROW($AO$3:$AO$62)-2),ROW(AO26)),2),""))</f>
        <v/>
      </c>
      <c r="AW28" s="69" t="str">
        <f t="array" ref="AW28">IF($AN$2=0,"",IFERROR(INDEX($AO$3:$AP$62,SMALL(IF($AO$3:$AO$62=$AW$2,ROW($AO$3:$AO$62)-2),ROW(AO26)),2),""))</f>
        <v/>
      </c>
      <c r="AX28" s="70" t="str">
        <f t="array" ref="AX28">IF($AN$2=0,"",IFERROR(INDEX($AO$3:$AP$62,SMALL(IF($AO$3:$AO$62=$AX$2,ROW($AO$3:$AO$62)-2),ROW(AO26)),2),""))</f>
        <v/>
      </c>
    </row>
    <row r="29" spans="2:50">
      <c r="B29" s="24" t="s">
        <v>163</v>
      </c>
      <c r="C29" s="24" t="s">
        <v>168</v>
      </c>
      <c r="E29" s="85" t="s">
        <v>60</v>
      </c>
      <c r="F29" s="85" t="s">
        <v>716</v>
      </c>
      <c r="H29" s="29" t="s">
        <v>272</v>
      </c>
      <c r="I29" s="270" t="s">
        <v>440</v>
      </c>
      <c r="K29" s="241" t="s">
        <v>60</v>
      </c>
      <c r="L29" s="272" t="s">
        <v>1114</v>
      </c>
      <c r="N29" s="92" t="s">
        <v>163</v>
      </c>
      <c r="O29" s="239">
        <v>560014</v>
      </c>
      <c r="P29" s="93" t="s">
        <v>6</v>
      </c>
      <c r="R29" s="52" t="s">
        <v>321</v>
      </c>
      <c r="S29" s="53" t="s">
        <v>932</v>
      </c>
      <c r="T29" s="52" t="s">
        <v>966</v>
      </c>
      <c r="W29" s="50" t="str">
        <f t="array" ref="W29">IF($V$2=0,"",IFERROR(INDEX($B$3:$C$520,SMALL(IF($B$3:$B$520=$V$2,ROW($B$3:$B$520)-2),ROW(B27)),2),""))</f>
        <v>O-229</v>
      </c>
      <c r="Z29" s="50" t="str">
        <f t="array" ref="Z29">IF($Y$2=0,"",IFERROR(INDEX($E$3:$F$114,SMALL(IF($E$3:$E$114=$Y$2,ROW($E$3:$E$114)-2),ROW(E27)),2),""))</f>
        <v/>
      </c>
      <c r="AC29" s="71"/>
      <c r="AF29" s="71"/>
      <c r="AL29" s="87" t="str">
        <f t="array" ref="AL29">IF($AK$2=0,"",IFERROR(INDEX($N$3:$O$499,SMALL(IF($N$3:$N$499=$AK$2,ROW($N$3:$N$499)-2),ROW(N27)),2),""))</f>
        <v>O-209</v>
      </c>
      <c r="AO29" s="55" t="str">
        <f t="array" ref="AO29">IF($AN$2=0,"",IFERROR(INDEX($S$3:$T$366,SMALL(IF($R$3:$R$366=$AN$2,ROW($R$3:$R$366)-2),ROW(T27)),2),""))</f>
        <v>Abastecimento</v>
      </c>
      <c r="AP29" s="56" t="str">
        <f t="array" ref="AP29">IF($AN$2=0,"",IFERROR(INDEX($R$3:$S$366,SMALL(IF($R$3:$R$366=$AN$2,ROW($R$3:$R$366)-2),ROW(S27)),2),""))</f>
        <v>Problema MP</v>
      </c>
      <c r="AR29" s="64" t="str">
        <f t="array" ref="AR29">IF($AN$2=0,"",IFERROR(INDEX($AO$3:$AP$62,SMALL(IF($AO$3:$AO$62=$AR$2,ROW($AO$3:$AO$62)-2),ROW(AO27)),2),""))</f>
        <v/>
      </c>
      <c r="AS29" s="65" t="str">
        <f t="array" ref="AS29">IF($AN$2=0,"",IFERROR(INDEX($AO$3:$AP$62,SMALL(IF($AO$3:$AO$62=$AS$2,ROW($AO$3:$AO$62)-2),ROW(AO27)),2),""))</f>
        <v/>
      </c>
      <c r="AT29" s="66" t="str">
        <f t="array" ref="AT29">IF($AN$2=0,"",IFERROR(INDEX($AO$3:$AP$62,SMALL(IF($AO$3:$AO$62=$AT$2,ROW($AO$3:$AO$62)-2),ROW(AO27)),2),""))</f>
        <v/>
      </c>
      <c r="AU29" s="67" t="str">
        <f t="array" ref="AU29">IF($AN$2=0,"",IFERROR(INDEX($AO$3:$AP$62,SMALL(IF($AO$3:$AO$62=$AU$2,ROW($AO$3:$AO$62)-2),ROW(AO27)),2),""))</f>
        <v/>
      </c>
      <c r="AV29" s="68" t="str">
        <f t="array" ref="AV29">IF($AN$2=0,"",IFERROR(INDEX($AO$3:$AP$62,SMALL(IF($AO$3:$AO$62=$AV$2,ROW($AO$3:$AO$62)-2),ROW(AO27)),2),""))</f>
        <v/>
      </c>
      <c r="AW29" s="69" t="str">
        <f t="array" ref="AW29">IF($AN$2=0,"",IFERROR(INDEX($AO$3:$AP$62,SMALL(IF($AO$3:$AO$62=$AW$2,ROW($AO$3:$AO$62)-2),ROW(AO27)),2),""))</f>
        <v/>
      </c>
      <c r="AX29" s="70" t="str">
        <f t="array" ref="AX29">IF($AN$2=0,"",IFERROR(INDEX($AO$3:$AP$62,SMALL(IF($AO$3:$AO$62=$AX$2,ROW($AO$3:$AO$62)-2),ROW(AO27)),2),""))</f>
        <v/>
      </c>
    </row>
    <row r="30" spans="2:50">
      <c r="B30" s="24" t="s">
        <v>163</v>
      </c>
      <c r="C30" s="24" t="s">
        <v>169</v>
      </c>
      <c r="E30" s="94" t="s">
        <v>60</v>
      </c>
      <c r="F30" s="94" t="s">
        <v>1048</v>
      </c>
      <c r="H30" s="29" t="s">
        <v>272</v>
      </c>
      <c r="I30" s="270" t="s">
        <v>454</v>
      </c>
      <c r="K30" s="241" t="s">
        <v>60</v>
      </c>
      <c r="L30" s="272" t="s">
        <v>1105</v>
      </c>
      <c r="N30" s="92" t="s">
        <v>272</v>
      </c>
      <c r="O30" s="92" t="s">
        <v>1040</v>
      </c>
      <c r="P30" s="93" t="s">
        <v>1057</v>
      </c>
      <c r="R30" s="52" t="s">
        <v>321</v>
      </c>
      <c r="S30" s="53" t="s">
        <v>933</v>
      </c>
      <c r="T30" s="52" t="s">
        <v>966</v>
      </c>
      <c r="W30" s="50" t="str">
        <f t="array" ref="W30">IF($V$2=0,"",IFERROR(INDEX($B$3:$C$520,SMALL(IF($B$3:$B$520=$V$2,ROW($B$3:$B$520)-2),ROW(B28)),2),""))</f>
        <v>O-230</v>
      </c>
      <c r="Z30" s="50" t="str">
        <f t="array" ref="Z30">IF($Y$2=0,"",IFERROR(INDEX($E$3:$F$114,SMALL(IF($E$3:$E$114=$Y$2,ROW($E$3:$E$114)-2),ROW(E28)),2),""))</f>
        <v/>
      </c>
      <c r="AC30" s="71"/>
      <c r="AF30" s="71"/>
      <c r="AL30" s="87" t="str">
        <f t="array" ref="AL30">IF($AK$2=0,"",IFERROR(INDEX($N$3:$O$499,SMALL(IF($N$3:$N$499=$AK$2,ROW($N$3:$N$499)-2),ROW(N28)),2),""))</f>
        <v>O-210</v>
      </c>
      <c r="AO30" s="55" t="str">
        <f t="array" ref="AO30">IF($AN$2=0,"",IFERROR(INDEX($S$3:$T$366,SMALL(IF($R$3:$R$366=$AN$2,ROW($R$3:$R$366)-2),ROW(T28)),2),""))</f>
        <v>Abastecimento</v>
      </c>
      <c r="AP30" s="56" t="str">
        <f t="array" ref="AP30">IF($AN$2=0,"",IFERROR(INDEX($R$3:$S$366,SMALL(IF($R$3:$R$366=$AN$2,ROW($R$3:$R$366)-2),ROW(S28)),2),""))</f>
        <v>Falta Carrinho</v>
      </c>
      <c r="AR30" s="64" t="str">
        <f t="array" ref="AR30">IF($AN$2=0,"",IFERROR(INDEX($AO$3:$AP$62,SMALL(IF($AO$3:$AO$62=$AR$2,ROW($AO$3:$AO$62)-2),ROW(AO28)),2),""))</f>
        <v/>
      </c>
      <c r="AS30" s="65" t="str">
        <f t="array" ref="AS30">IF($AN$2=0,"",IFERROR(INDEX($AO$3:$AP$62,SMALL(IF($AO$3:$AO$62=$AS$2,ROW($AO$3:$AO$62)-2),ROW(AO28)),2),""))</f>
        <v/>
      </c>
      <c r="AT30" s="66" t="str">
        <f t="array" ref="AT30">IF($AN$2=0,"",IFERROR(INDEX($AO$3:$AP$62,SMALL(IF($AO$3:$AO$62=$AT$2,ROW($AO$3:$AO$62)-2),ROW(AO28)),2),""))</f>
        <v/>
      </c>
      <c r="AU30" s="67" t="str">
        <f t="array" ref="AU30">IF($AN$2=0,"",IFERROR(INDEX($AO$3:$AP$62,SMALL(IF($AO$3:$AO$62=$AU$2,ROW($AO$3:$AO$62)-2),ROW(AO28)),2),""))</f>
        <v/>
      </c>
      <c r="AV30" s="68" t="str">
        <f t="array" ref="AV30">IF($AN$2=0,"",IFERROR(INDEX($AO$3:$AP$62,SMALL(IF($AO$3:$AO$62=$AV$2,ROW($AO$3:$AO$62)-2),ROW(AO28)),2),""))</f>
        <v/>
      </c>
      <c r="AW30" s="69" t="str">
        <f t="array" ref="AW30">IF($AN$2=0,"",IFERROR(INDEX($AO$3:$AP$62,SMALL(IF($AO$3:$AO$62=$AW$2,ROW($AO$3:$AO$62)-2),ROW(AO28)),2),""))</f>
        <v/>
      </c>
      <c r="AX30" s="70" t="str">
        <f t="array" ref="AX30">IF($AN$2=0,"",IFERROR(INDEX($AO$3:$AP$62,SMALL(IF($AO$3:$AO$62=$AX$2,ROW($AO$3:$AO$62)-2),ROW(AO28)),2),""))</f>
        <v/>
      </c>
    </row>
    <row r="31" spans="2:50">
      <c r="B31" s="24" t="s">
        <v>163</v>
      </c>
      <c r="C31" s="24" t="s">
        <v>170</v>
      </c>
      <c r="E31" s="85" t="s">
        <v>92</v>
      </c>
      <c r="F31" s="85" t="s">
        <v>731</v>
      </c>
      <c r="H31" s="29" t="s">
        <v>272</v>
      </c>
      <c r="I31" s="270" t="s">
        <v>1067</v>
      </c>
      <c r="K31" s="241" t="s">
        <v>60</v>
      </c>
      <c r="L31" s="272" t="s">
        <v>1106</v>
      </c>
      <c r="N31" s="92" t="s">
        <v>272</v>
      </c>
      <c r="O31" s="92" t="s">
        <v>614</v>
      </c>
      <c r="P31" s="93" t="s">
        <v>1057</v>
      </c>
      <c r="R31" s="52" t="s">
        <v>321</v>
      </c>
      <c r="S31" s="53" t="s">
        <v>934</v>
      </c>
      <c r="T31" s="52" t="s">
        <v>966</v>
      </c>
      <c r="W31" s="50" t="str">
        <f t="array" ref="W31">IF($V$2=0,"",IFERROR(INDEX($B$3:$C$520,SMALL(IF($B$3:$B$520=$V$2,ROW($B$3:$B$520)-2),ROW(B29)),2),""))</f>
        <v>O-231</v>
      </c>
      <c r="Z31" s="71"/>
      <c r="AC31" s="71"/>
      <c r="AF31" s="71"/>
      <c r="AL31" s="87" t="str">
        <f t="array" ref="AL31">IF($AK$2=0,"",IFERROR(INDEX($N$3:$O$499,SMALL(IF($N$3:$N$499=$AK$2,ROW($N$3:$N$499)-2),ROW(N29)),2),""))</f>
        <v>O-212</v>
      </c>
      <c r="AO31" s="55" t="str">
        <f t="array" ref="AO31">IF($AN$2=0,"",IFERROR(INDEX($S$3:$T$366,SMALL(IF($R$3:$R$366=$AN$2,ROW($R$3:$R$366)-2),ROW(T29)),2),""))</f>
        <v>Abastecimento</v>
      </c>
      <c r="AP31" s="56" t="str">
        <f t="array" ref="AP31">IF($AN$2=0,"",IFERROR(INDEX($R$3:$S$366,SMALL(IF($R$3:$R$366=$AN$2,ROW($R$3:$R$366)-2),ROW(S29)),2),""))</f>
        <v>Falta Peca Proc Anterior</v>
      </c>
      <c r="AR31" s="64" t="str">
        <f t="array" ref="AR31">IF($AN$2=0,"",IFERROR(INDEX($AO$3:$AP$62,SMALL(IF($AO$3:$AO$62=$AR$2,ROW($AO$3:$AO$62)-2),ROW(AO29)),2),""))</f>
        <v/>
      </c>
      <c r="AS31" s="65" t="str">
        <f t="array" ref="AS31">IF($AN$2=0,"",IFERROR(INDEX($AO$3:$AP$62,SMALL(IF($AO$3:$AO$62=$AS$2,ROW($AO$3:$AO$62)-2),ROW(AO29)),2),""))</f>
        <v/>
      </c>
      <c r="AT31" s="66" t="str">
        <f t="array" ref="AT31">IF($AN$2=0,"",IFERROR(INDEX($AO$3:$AP$62,SMALL(IF($AO$3:$AO$62=$AT$2,ROW($AO$3:$AO$62)-2),ROW(AO29)),2),""))</f>
        <v/>
      </c>
      <c r="AU31" s="67" t="str">
        <f t="array" ref="AU31">IF($AN$2=0,"",IFERROR(INDEX($AO$3:$AP$62,SMALL(IF($AO$3:$AO$62=$AU$2,ROW($AO$3:$AO$62)-2),ROW(AO29)),2),""))</f>
        <v/>
      </c>
      <c r="AV31" s="68" t="str">
        <f t="array" ref="AV31">IF($AN$2=0,"",IFERROR(INDEX($AO$3:$AP$62,SMALL(IF($AO$3:$AO$62=$AV$2,ROW($AO$3:$AO$62)-2),ROW(AO29)),2),""))</f>
        <v/>
      </c>
      <c r="AW31" s="69" t="str">
        <f t="array" ref="AW31">IF($AN$2=0,"",IFERROR(INDEX($AO$3:$AP$62,SMALL(IF($AO$3:$AO$62=$AW$2,ROW($AO$3:$AO$62)-2),ROW(AO29)),2),""))</f>
        <v/>
      </c>
      <c r="AX31" s="70" t="str">
        <f t="array" ref="AX31">IF($AN$2=0,"",IFERROR(INDEX($AO$3:$AP$62,SMALL(IF($AO$3:$AO$62=$AX$2,ROW($AO$3:$AO$62)-2),ROW(AO29)),2),""))</f>
        <v/>
      </c>
    </row>
    <row r="32" spans="2:50">
      <c r="B32" s="24" t="s">
        <v>163</v>
      </c>
      <c r="C32" s="24" t="s">
        <v>171</v>
      </c>
      <c r="E32" s="85" t="s">
        <v>92</v>
      </c>
      <c r="F32" s="85" t="s">
        <v>732</v>
      </c>
      <c r="H32" s="29" t="s">
        <v>272</v>
      </c>
      <c r="I32" s="270" t="s">
        <v>1068</v>
      </c>
      <c r="K32" s="241" t="s">
        <v>60</v>
      </c>
      <c r="L32" s="272" t="s">
        <v>1115</v>
      </c>
      <c r="N32" s="92" t="s">
        <v>272</v>
      </c>
      <c r="O32" s="92" t="s">
        <v>807</v>
      </c>
      <c r="P32" s="93" t="s">
        <v>1057</v>
      </c>
      <c r="R32" s="52" t="s">
        <v>321</v>
      </c>
      <c r="S32" s="53" t="s">
        <v>935</v>
      </c>
      <c r="T32" s="52" t="s">
        <v>966</v>
      </c>
      <c r="W32" s="50" t="str">
        <f t="array" ref="W32">IF($V$2=0,"",IFERROR(INDEX($B$3:$C$520,SMALL(IF($B$3:$B$520=$V$2,ROW($B$3:$B$520)-2),ROW(B30)),2),""))</f>
        <v>O-232</v>
      </c>
      <c r="Z32" s="71"/>
      <c r="AC32" s="71"/>
      <c r="AF32" s="71"/>
      <c r="AL32" s="87" t="str">
        <f t="array" ref="AL32">IF($AK$2=0,"",IFERROR(INDEX($N$3:$O$499,SMALL(IF($N$3:$N$499=$AK$2,ROW($N$3:$N$499)-2),ROW(N30)),2),""))</f>
        <v>O-214</v>
      </c>
      <c r="AO32" s="55" t="str">
        <f t="array" ref="AO32">IF($AN$2=0,"",IFERROR(INDEX($S$3:$T$366,SMALL(IF($R$3:$R$366=$AN$2,ROW($R$3:$R$366)-2),ROW(T30)),2),""))</f>
        <v/>
      </c>
      <c r="AP32" s="56" t="str">
        <f t="array" ref="AP32">IF($AN$2=0,"",IFERROR(INDEX($R$3:$S$366,SMALL(IF($R$3:$R$366=$AN$2,ROW($R$3:$R$366)-2),ROW(S30)),2),""))</f>
        <v/>
      </c>
      <c r="AR32" s="64" t="str">
        <f t="array" ref="AR32">IF($AN$2=0,"",IFERROR(INDEX($AO$3:$AP$62,SMALL(IF($AO$3:$AO$62=$AR$2,ROW($AO$3:$AO$62)-2),ROW(AO30)),2),""))</f>
        <v/>
      </c>
      <c r="AS32" s="65" t="str">
        <f t="array" ref="AS32">IF($AN$2=0,"",IFERROR(INDEX($AO$3:$AP$62,SMALL(IF($AO$3:$AO$62=$AS$2,ROW($AO$3:$AO$62)-2),ROW(AO30)),2),""))</f>
        <v/>
      </c>
      <c r="AT32" s="66" t="str">
        <f t="array" ref="AT32">IF($AN$2=0,"",IFERROR(INDEX($AO$3:$AP$62,SMALL(IF($AO$3:$AO$62=$AT$2,ROW($AO$3:$AO$62)-2),ROW(AO30)),2),""))</f>
        <v/>
      </c>
      <c r="AU32" s="67" t="str">
        <f t="array" ref="AU32">IF($AN$2=0,"",IFERROR(INDEX($AO$3:$AP$62,SMALL(IF($AO$3:$AO$62=$AU$2,ROW($AO$3:$AO$62)-2),ROW(AO30)),2),""))</f>
        <v/>
      </c>
      <c r="AV32" s="68" t="str">
        <f t="array" ref="AV32">IF($AN$2=0,"",IFERROR(INDEX($AO$3:$AP$62,SMALL(IF($AO$3:$AO$62=$AV$2,ROW($AO$3:$AO$62)-2),ROW(AO30)),2),""))</f>
        <v/>
      </c>
      <c r="AW32" s="69" t="str">
        <f t="array" ref="AW32">IF($AN$2=0,"",IFERROR(INDEX($AO$3:$AP$62,SMALL(IF($AO$3:$AO$62=$AW$2,ROW($AO$3:$AO$62)-2),ROW(AO30)),2),""))</f>
        <v/>
      </c>
      <c r="AX32" s="70" t="str">
        <f t="array" ref="AX32">IF($AN$2=0,"",IFERROR(INDEX($AO$3:$AP$62,SMALL(IF($AO$3:$AO$62=$AX$2,ROW($AO$3:$AO$62)-2),ROW(AO30)),2),""))</f>
        <v/>
      </c>
    </row>
    <row r="33" spans="2:50">
      <c r="B33" s="24" t="s">
        <v>163</v>
      </c>
      <c r="C33" s="24" t="s">
        <v>172</v>
      </c>
      <c r="E33" s="85" t="s">
        <v>92</v>
      </c>
      <c r="F33" s="85" t="s">
        <v>733</v>
      </c>
      <c r="H33" s="29" t="s">
        <v>92</v>
      </c>
      <c r="I33" s="270" t="s">
        <v>1080</v>
      </c>
      <c r="K33" s="241" t="s">
        <v>60</v>
      </c>
      <c r="L33" s="272" t="s">
        <v>1089</v>
      </c>
      <c r="N33" s="92" t="s">
        <v>272</v>
      </c>
      <c r="O33" s="92" t="s">
        <v>667</v>
      </c>
      <c r="P33" s="93" t="s">
        <v>1057</v>
      </c>
      <c r="R33" s="52" t="s">
        <v>321</v>
      </c>
      <c r="S33" s="53" t="s">
        <v>936</v>
      </c>
      <c r="T33" s="52" t="s">
        <v>966</v>
      </c>
      <c r="W33" s="50" t="str">
        <f t="array" ref="W33">IF($V$2=0,"",IFERROR(INDEX($B$3:$C$520,SMALL(IF($B$3:$B$520=$V$2,ROW($B$3:$B$520)-2),ROW(B31)),2),""))</f>
        <v>O-262</v>
      </c>
      <c r="Z33" s="71"/>
      <c r="AC33" s="71"/>
      <c r="AF33" s="71"/>
      <c r="AL33" s="87" t="str">
        <f t="array" ref="AL33">IF($AK$2=0,"",IFERROR(INDEX($N$3:$O$499,SMALL(IF($N$3:$N$499=$AK$2,ROW($N$3:$N$499)-2),ROW(N31)),2),""))</f>
        <v>O-217</v>
      </c>
      <c r="AO33" s="55" t="str">
        <f t="array" ref="AO33">IF($AN$2=0,"",IFERROR(INDEX($S$3:$T$366,SMALL(IF($R$3:$R$366=$AN$2,ROW($R$3:$R$366)-2),ROW(T31)),2),""))</f>
        <v/>
      </c>
      <c r="AP33" s="56" t="str">
        <f t="array" ref="AP33">IF($AN$2=0,"",IFERROR(INDEX($R$3:$S$366,SMALL(IF($R$3:$R$366=$AN$2,ROW($R$3:$R$366)-2),ROW(S31)),2),""))</f>
        <v/>
      </c>
      <c r="AR33" s="64" t="str">
        <f t="array" ref="AR33">IF($AN$2=0,"",IFERROR(INDEX($AO$3:$AP$62,SMALL(IF($AO$3:$AO$62=$AR$2,ROW($AO$3:$AO$62)-2),ROW(AO31)),2),""))</f>
        <v/>
      </c>
      <c r="AS33" s="65" t="str">
        <f t="array" ref="AS33">IF($AN$2=0,"",IFERROR(INDEX($AO$3:$AP$62,SMALL(IF($AO$3:$AO$62=$AS$2,ROW($AO$3:$AO$62)-2),ROW(AO31)),2),""))</f>
        <v/>
      </c>
      <c r="AT33" s="66" t="str">
        <f t="array" ref="AT33">IF($AN$2=0,"",IFERROR(INDEX($AO$3:$AP$62,SMALL(IF($AO$3:$AO$62=$AT$2,ROW($AO$3:$AO$62)-2),ROW(AO31)),2),""))</f>
        <v/>
      </c>
      <c r="AU33" s="67" t="str">
        <f t="array" ref="AU33">IF($AN$2=0,"",IFERROR(INDEX($AO$3:$AP$62,SMALL(IF($AO$3:$AO$62=$AU$2,ROW($AO$3:$AO$62)-2),ROW(AO31)),2),""))</f>
        <v/>
      </c>
      <c r="AV33" s="68" t="str">
        <f t="array" ref="AV33">IF($AN$2=0,"",IFERROR(INDEX($AO$3:$AP$62,SMALL(IF($AO$3:$AO$62=$AV$2,ROW($AO$3:$AO$62)-2),ROW(AO31)),2),""))</f>
        <v/>
      </c>
      <c r="AW33" s="69" t="str">
        <f t="array" ref="AW33">IF($AN$2=0,"",IFERROR(INDEX($AO$3:$AP$62,SMALL(IF($AO$3:$AO$62=$AW$2,ROW($AO$3:$AO$62)-2),ROW(AO31)),2),""))</f>
        <v/>
      </c>
      <c r="AX33" s="70" t="str">
        <f t="array" ref="AX33">IF($AN$2=0,"",IFERROR(INDEX($AO$3:$AP$62,SMALL(IF($AO$3:$AO$62=$AX$2,ROW($AO$3:$AO$62)-2),ROW(AO31)),2),""))</f>
        <v/>
      </c>
    </row>
    <row r="34" spans="2:50">
      <c r="B34" s="24" t="s">
        <v>163</v>
      </c>
      <c r="C34" s="24" t="s">
        <v>173</v>
      </c>
      <c r="E34" s="85" t="s">
        <v>92</v>
      </c>
      <c r="F34" s="85" t="s">
        <v>734</v>
      </c>
      <c r="H34" s="29" t="s">
        <v>92</v>
      </c>
      <c r="I34" s="270" t="s">
        <v>1117</v>
      </c>
      <c r="K34" s="241" t="s">
        <v>60</v>
      </c>
      <c r="L34" s="272" t="s">
        <v>1107</v>
      </c>
      <c r="N34" s="92" t="s">
        <v>272</v>
      </c>
      <c r="O34" s="92" t="s">
        <v>615</v>
      </c>
      <c r="P34" s="93" t="s">
        <v>1057</v>
      </c>
      <c r="R34" s="52" t="s">
        <v>321</v>
      </c>
      <c r="S34" s="53" t="s">
        <v>928</v>
      </c>
      <c r="T34" s="52" t="s">
        <v>966</v>
      </c>
      <c r="W34" s="50" t="str">
        <f t="array" ref="W34">IF($V$2=0,"",IFERROR(INDEX($B$3:$C$520,SMALL(IF($B$3:$B$520=$V$2,ROW($B$3:$B$520)-2),ROW(B32)),2),""))</f>
        <v>O-263</v>
      </c>
      <c r="Z34" s="71"/>
      <c r="AC34" s="71"/>
      <c r="AF34" s="71"/>
      <c r="AL34" s="87" t="str">
        <f t="array" ref="AL34">IF($AK$2=0,"",IFERROR(INDEX($N$3:$O$499,SMALL(IF($N$3:$N$499=$AK$2,ROW($N$3:$N$499)-2),ROW(N32)),2),""))</f>
        <v/>
      </c>
      <c r="AO34" s="55" t="str">
        <f t="array" ref="AO34">IF($AN$2=0,"",IFERROR(INDEX($S$3:$T$366,SMALL(IF($R$3:$R$366=$AN$2,ROW($R$3:$R$366)-2),ROW(T32)),2),""))</f>
        <v/>
      </c>
      <c r="AP34" s="56" t="str">
        <f t="array" ref="AP34">IF($AN$2=0,"",IFERROR(INDEX($R$3:$S$366,SMALL(IF($R$3:$R$366=$AN$2,ROW($R$3:$R$366)-2),ROW(S32)),2),""))</f>
        <v/>
      </c>
      <c r="AR34" s="64" t="str">
        <f t="array" ref="AR34">IF($AN$2=0,"",IFERROR(INDEX($AO$3:$AP$62,SMALL(IF($AO$3:$AO$62=$AR$2,ROW($AO$3:$AO$62)-2),ROW(AO32)),2),""))</f>
        <v/>
      </c>
      <c r="AS34" s="65" t="str">
        <f t="array" ref="AS34">IF($AN$2=0,"",IFERROR(INDEX($AO$3:$AP$62,SMALL(IF($AO$3:$AO$62=$AS$2,ROW($AO$3:$AO$62)-2),ROW(AO32)),2),""))</f>
        <v/>
      </c>
      <c r="AT34" s="66" t="str">
        <f t="array" ref="AT34">IF($AN$2=0,"",IFERROR(INDEX($AO$3:$AP$62,SMALL(IF($AO$3:$AO$62=$AT$2,ROW($AO$3:$AO$62)-2),ROW(AO32)),2),""))</f>
        <v/>
      </c>
      <c r="AU34" s="67" t="str">
        <f t="array" ref="AU34">IF($AN$2=0,"",IFERROR(INDEX($AO$3:$AP$62,SMALL(IF($AO$3:$AO$62=$AU$2,ROW($AO$3:$AO$62)-2),ROW(AO32)),2),""))</f>
        <v/>
      </c>
      <c r="AV34" s="68" t="str">
        <f t="array" ref="AV34">IF($AN$2=0,"",IFERROR(INDEX($AO$3:$AP$62,SMALL(IF($AO$3:$AO$62=$AV$2,ROW($AO$3:$AO$62)-2),ROW(AO32)),2),""))</f>
        <v/>
      </c>
      <c r="AW34" s="69" t="str">
        <f t="array" ref="AW34">IF($AN$2=0,"",IFERROR(INDEX($AO$3:$AP$62,SMALL(IF($AO$3:$AO$62=$AW$2,ROW($AO$3:$AO$62)-2),ROW(AO32)),2),""))</f>
        <v/>
      </c>
      <c r="AX34" s="70" t="str">
        <f t="array" ref="AX34">IF($AN$2=0,"",IFERROR(INDEX($AO$3:$AP$62,SMALL(IF($AO$3:$AO$62=$AX$2,ROW($AO$3:$AO$62)-2),ROW(AO32)),2),""))</f>
        <v/>
      </c>
    </row>
    <row r="35" spans="2:50">
      <c r="B35" s="24" t="s">
        <v>163</v>
      </c>
      <c r="C35" s="24" t="s">
        <v>174</v>
      </c>
      <c r="E35" s="85" t="s">
        <v>92</v>
      </c>
      <c r="F35" s="85" t="s">
        <v>745</v>
      </c>
      <c r="H35" s="29" t="s">
        <v>92</v>
      </c>
      <c r="I35" s="270" t="s">
        <v>1081</v>
      </c>
      <c r="K35" s="241" t="s">
        <v>197</v>
      </c>
      <c r="L35" s="272" t="s">
        <v>207</v>
      </c>
      <c r="N35" s="92" t="s">
        <v>272</v>
      </c>
      <c r="O35" s="92" t="s">
        <v>616</v>
      </c>
      <c r="P35" s="93" t="s">
        <v>1057</v>
      </c>
      <c r="R35" s="52" t="s">
        <v>321</v>
      </c>
      <c r="S35" s="53" t="s">
        <v>926</v>
      </c>
      <c r="T35" s="52" t="s">
        <v>966</v>
      </c>
      <c r="W35" s="50" t="str">
        <f t="array" ref="W35">IF($V$2=0,"",IFERROR(INDEX($B$3:$C$520,SMALL(IF($B$3:$B$520=$V$2,ROW($B$3:$B$520)-2),ROW(B33)),2),""))</f>
        <v>Try Out</v>
      </c>
      <c r="Z35" s="71"/>
      <c r="AC35" s="71"/>
      <c r="AF35" s="71"/>
      <c r="AL35" s="87" t="str">
        <f t="array" ref="AL35">IF($AK$2=0,"",IFERROR(INDEX($N$3:$O$499,SMALL(IF($N$3:$N$499=$AK$2,ROW($N$3:$N$499)-2),ROW(N33)),2),""))</f>
        <v/>
      </c>
      <c r="AO35" s="55" t="str">
        <f t="array" ref="AO35">IF($AN$2=0,"",IFERROR(INDEX($S$3:$T$366,SMALL(IF($R$3:$R$366=$AN$2,ROW($R$3:$R$366)-2),ROW(T33)),2),""))</f>
        <v/>
      </c>
      <c r="AP35" s="56" t="str">
        <f t="array" ref="AP35">IF($AN$2=0,"",IFERROR(INDEX($R$3:$S$366,SMALL(IF($R$3:$R$366=$AN$2,ROW($R$3:$R$366)-2),ROW(S33)),2),""))</f>
        <v/>
      </c>
      <c r="AR35" s="64" t="str">
        <f t="array" ref="AR35">IF($AN$2=0,"",IFERROR(INDEX($AO$3:$AP$62,SMALL(IF($AO$3:$AO$62=$AR$2,ROW($AO$3:$AO$62)-2),ROW(AO33)),2),""))</f>
        <v/>
      </c>
      <c r="AS35" s="65" t="str">
        <f t="array" ref="AS35">IF($AN$2=0,"",IFERROR(INDEX($AO$3:$AP$62,SMALL(IF($AO$3:$AO$62=$AS$2,ROW($AO$3:$AO$62)-2),ROW(AO33)),2),""))</f>
        <v/>
      </c>
      <c r="AT35" s="66" t="str">
        <f t="array" ref="AT35">IF($AN$2=0,"",IFERROR(INDEX($AO$3:$AP$62,SMALL(IF($AO$3:$AO$62=$AT$2,ROW($AO$3:$AO$62)-2),ROW(AO33)),2),""))</f>
        <v/>
      </c>
      <c r="AU35" s="67" t="str">
        <f t="array" ref="AU35">IF($AN$2=0,"",IFERROR(INDEX($AO$3:$AP$62,SMALL(IF($AO$3:$AO$62=$AU$2,ROW($AO$3:$AO$62)-2),ROW(AO33)),2),""))</f>
        <v/>
      </c>
      <c r="AV35" s="68" t="str">
        <f t="array" ref="AV35">IF($AN$2=0,"",IFERROR(INDEX($AO$3:$AP$62,SMALL(IF($AO$3:$AO$62=$AV$2,ROW($AO$3:$AO$62)-2),ROW(AO33)),2),""))</f>
        <v/>
      </c>
      <c r="AW35" s="69" t="str">
        <f t="array" ref="AW35">IF($AN$2=0,"",IFERROR(INDEX($AO$3:$AP$62,SMALL(IF($AO$3:$AO$62=$AW$2,ROW($AO$3:$AO$62)-2),ROW(AO33)),2),""))</f>
        <v/>
      </c>
      <c r="AX35" s="70" t="str">
        <f t="array" ref="AX35">IF($AN$2=0,"",IFERROR(INDEX($AO$3:$AP$62,SMALL(IF($AO$3:$AO$62=$AX$2,ROW($AO$3:$AO$62)-2),ROW(AO33)),2),""))</f>
        <v/>
      </c>
    </row>
    <row r="36" spans="2:50">
      <c r="B36" s="24" t="s">
        <v>163</v>
      </c>
      <c r="C36" s="24" t="s">
        <v>175</v>
      </c>
      <c r="E36" s="85" t="s">
        <v>92</v>
      </c>
      <c r="F36" s="85" t="s">
        <v>746</v>
      </c>
      <c r="H36" s="29" t="s">
        <v>92</v>
      </c>
      <c r="I36" s="270" t="s">
        <v>1082</v>
      </c>
      <c r="K36" s="241" t="s">
        <v>197</v>
      </c>
      <c r="L36" s="272" t="s">
        <v>208</v>
      </c>
      <c r="N36" s="92" t="s">
        <v>272</v>
      </c>
      <c r="O36" s="92" t="s">
        <v>627</v>
      </c>
      <c r="P36" s="93" t="s">
        <v>1057</v>
      </c>
      <c r="R36" s="52" t="s">
        <v>321</v>
      </c>
      <c r="S36" s="53" t="s">
        <v>937</v>
      </c>
      <c r="T36" s="52" t="s">
        <v>966</v>
      </c>
      <c r="W36" s="50" t="str">
        <f t="array" ref="W36">IF($V$2=0,"",IFERROR(INDEX($B$3:$C$520,SMALL(IF($B$3:$B$520=$V$2,ROW($B$3:$B$520)-2),ROW(B34)),2),""))</f>
        <v>Sem Demanda</v>
      </c>
      <c r="Z36" s="71"/>
      <c r="AC36" s="71"/>
      <c r="AF36" s="71"/>
      <c r="AL36" s="87" t="str">
        <f t="array" ref="AL36">IF($AK$2=0,"",IFERROR(INDEX($N$3:$O$499,SMALL(IF($N$3:$N$499=$AK$2,ROW($N$3:$N$499)-2),ROW(N34)),2),""))</f>
        <v/>
      </c>
      <c r="AO36" s="55" t="str">
        <f t="array" ref="AO36">IF($AN$2=0,"",IFERROR(INDEX($S$3:$T$366,SMALL(IF($R$3:$R$366=$AN$2,ROW($R$3:$R$366)-2),ROW(T34)),2),""))</f>
        <v/>
      </c>
      <c r="AP36" s="56" t="str">
        <f t="array" ref="AP36">IF($AN$2=0,"",IFERROR(INDEX($R$3:$S$366,SMALL(IF($R$3:$R$366=$AN$2,ROW($R$3:$R$366)-2),ROW(S34)),2),""))</f>
        <v/>
      </c>
      <c r="AR36" s="64" t="str">
        <f t="array" ref="AR36">IF($AN$2=0,"",IFERROR(INDEX($AO$3:$AP$62,SMALL(IF($AO$3:$AO$62=$AR$2,ROW($AO$3:$AO$62)-2),ROW(AO34)),2),""))</f>
        <v/>
      </c>
      <c r="AS36" s="65" t="str">
        <f t="array" ref="AS36">IF($AN$2=0,"",IFERROR(INDEX($AO$3:$AP$62,SMALL(IF($AO$3:$AO$62=$AS$2,ROW($AO$3:$AO$62)-2),ROW(AO34)),2),""))</f>
        <v/>
      </c>
      <c r="AT36" s="66" t="str">
        <f t="array" ref="AT36">IF($AN$2=0,"",IFERROR(INDEX($AO$3:$AP$62,SMALL(IF($AO$3:$AO$62=$AT$2,ROW($AO$3:$AO$62)-2),ROW(AO34)),2),""))</f>
        <v/>
      </c>
      <c r="AU36" s="67" t="str">
        <f t="array" ref="AU36">IF($AN$2=0,"",IFERROR(INDEX($AO$3:$AP$62,SMALL(IF($AO$3:$AO$62=$AU$2,ROW($AO$3:$AO$62)-2),ROW(AO34)),2),""))</f>
        <v/>
      </c>
      <c r="AV36" s="68" t="str">
        <f t="array" ref="AV36">IF($AN$2=0,"",IFERROR(INDEX($AO$3:$AP$62,SMALL(IF($AO$3:$AO$62=$AV$2,ROW($AO$3:$AO$62)-2),ROW(AO34)),2),""))</f>
        <v/>
      </c>
      <c r="AW36" s="69" t="str">
        <f t="array" ref="AW36">IF($AN$2=0,"",IFERROR(INDEX($AO$3:$AP$62,SMALL(IF($AO$3:$AO$62=$AW$2,ROW($AO$3:$AO$62)-2),ROW(AO34)),2),""))</f>
        <v/>
      </c>
      <c r="AX36" s="70" t="str">
        <f t="array" ref="AX36">IF($AN$2=0,"",IFERROR(INDEX($AO$3:$AP$62,SMALL(IF($AO$3:$AO$62=$AX$2,ROW($AO$3:$AO$62)-2),ROW(AO34)),2),""))</f>
        <v/>
      </c>
    </row>
    <row r="37" spans="2:50">
      <c r="B37" s="24" t="s">
        <v>163</v>
      </c>
      <c r="C37" s="24" t="s">
        <v>176</v>
      </c>
      <c r="E37" s="85" t="s">
        <v>92</v>
      </c>
      <c r="F37" s="85" t="s">
        <v>747</v>
      </c>
      <c r="H37" s="29" t="s">
        <v>92</v>
      </c>
      <c r="I37" s="270" t="s">
        <v>1083</v>
      </c>
      <c r="K37" s="241" t="s">
        <v>197</v>
      </c>
      <c r="L37" s="272" t="s">
        <v>203</v>
      </c>
      <c r="N37" s="92" t="s">
        <v>92</v>
      </c>
      <c r="O37" s="92" t="s">
        <v>471</v>
      </c>
      <c r="P37" s="93" t="s">
        <v>6</v>
      </c>
      <c r="R37" s="52" t="s">
        <v>321</v>
      </c>
      <c r="S37" s="53" t="s">
        <v>897</v>
      </c>
      <c r="T37" s="52" t="s">
        <v>911</v>
      </c>
      <c r="W37" s="50" t="str">
        <f t="array" ref="W37">IF($V$2=0,"",IFERROR(INDEX($B$3:$C$520,SMALL(IF($B$3:$B$520=$V$2,ROW($B$3:$B$520)-2),ROW(B35)),2),""))</f>
        <v>Componente</v>
      </c>
      <c r="Z37" s="71"/>
      <c r="AC37" s="71"/>
      <c r="AF37" s="71"/>
      <c r="AL37" s="87" t="str">
        <f t="array" ref="AL37">IF($AK$2=0,"",IFERROR(INDEX($N$3:$O$499,SMALL(IF($N$3:$N$499=$AK$2,ROW($N$3:$N$499)-2),ROW(N35)),2),""))</f>
        <v/>
      </c>
      <c r="AO37" s="55" t="str">
        <f t="array" ref="AO37">IF($AN$2=0,"",IFERROR(INDEX($S$3:$T$366,SMALL(IF($R$3:$R$366=$AN$2,ROW($R$3:$R$366)-2),ROW(T35)),2),""))</f>
        <v/>
      </c>
      <c r="AP37" s="56" t="str">
        <f t="array" ref="AP37">IF($AN$2=0,"",IFERROR(INDEX($R$3:$S$366,SMALL(IF($R$3:$R$366=$AN$2,ROW($R$3:$R$366)-2),ROW(S35)),2),""))</f>
        <v/>
      </c>
      <c r="AR37" s="64" t="str">
        <f t="array" ref="AR37">IF($AN$2=0,"",IFERROR(INDEX($AO$3:$AP$62,SMALL(IF($AO$3:$AO$62=$AR$2,ROW($AO$3:$AO$62)-2),ROW(AO35)),2),""))</f>
        <v/>
      </c>
      <c r="AS37" s="65" t="str">
        <f t="array" ref="AS37">IF($AN$2=0,"",IFERROR(INDEX($AO$3:$AP$62,SMALL(IF($AO$3:$AO$62=$AS$2,ROW($AO$3:$AO$62)-2),ROW(AO35)),2),""))</f>
        <v/>
      </c>
      <c r="AT37" s="66" t="str">
        <f t="array" ref="AT37">IF($AN$2=0,"",IFERROR(INDEX($AO$3:$AP$62,SMALL(IF($AO$3:$AO$62=$AT$2,ROW($AO$3:$AO$62)-2),ROW(AO35)),2),""))</f>
        <v/>
      </c>
      <c r="AU37" s="67" t="str">
        <f t="array" ref="AU37">IF($AN$2=0,"",IFERROR(INDEX($AO$3:$AP$62,SMALL(IF($AO$3:$AO$62=$AU$2,ROW($AO$3:$AO$62)-2),ROW(AO35)),2),""))</f>
        <v/>
      </c>
      <c r="AV37" s="68" t="str">
        <f t="array" ref="AV37">IF($AN$2=0,"",IFERROR(INDEX($AO$3:$AP$62,SMALL(IF($AO$3:$AO$62=$AV$2,ROW($AO$3:$AO$62)-2),ROW(AO35)),2),""))</f>
        <v/>
      </c>
      <c r="AW37" s="69" t="str">
        <f t="array" ref="AW37">IF($AN$2=0,"",IFERROR(INDEX($AO$3:$AP$62,SMALL(IF($AO$3:$AO$62=$AW$2,ROW($AO$3:$AO$62)-2),ROW(AO35)),2),""))</f>
        <v/>
      </c>
      <c r="AX37" s="70" t="str">
        <f t="array" ref="AX37">IF($AN$2=0,"",IFERROR(INDEX($AO$3:$AP$62,SMALL(IF($AO$3:$AO$62=$AX$2,ROW($AO$3:$AO$62)-2),ROW(AO35)),2),""))</f>
        <v/>
      </c>
    </row>
    <row r="38" spans="2:50">
      <c r="B38" s="24" t="s">
        <v>163</v>
      </c>
      <c r="C38" s="24" t="s">
        <v>177</v>
      </c>
      <c r="E38" s="85" t="s">
        <v>92</v>
      </c>
      <c r="F38" s="85" t="s">
        <v>724</v>
      </c>
      <c r="H38" s="29" t="s">
        <v>92</v>
      </c>
      <c r="I38" s="270" t="s">
        <v>1084</v>
      </c>
      <c r="K38" s="241" t="s">
        <v>197</v>
      </c>
      <c r="L38" s="272" t="s">
        <v>204</v>
      </c>
      <c r="N38" s="92" t="s">
        <v>92</v>
      </c>
      <c r="O38" s="92" t="s">
        <v>481</v>
      </c>
      <c r="P38" s="93" t="s">
        <v>1057</v>
      </c>
      <c r="R38" s="52" t="s">
        <v>321</v>
      </c>
      <c r="S38" s="53" t="s">
        <v>938</v>
      </c>
      <c r="T38" s="52" t="s">
        <v>911</v>
      </c>
      <c r="W38" s="50" t="str">
        <f t="array" ref="W38">IF($V$2=0,"",IFERROR(INDEX($B$3:$C$520,SMALL(IF($B$3:$B$520=$V$2,ROW($B$3:$B$520)-2),ROW(B36)),2),""))</f>
        <v>Devolucao</v>
      </c>
      <c r="Z38" s="71"/>
      <c r="AC38" s="71"/>
      <c r="AF38" s="71"/>
      <c r="AL38" s="87" t="str">
        <f t="array" ref="AL38">IF($AK$2=0,"",IFERROR(INDEX($N$3:$O$499,SMALL(IF($N$3:$N$499=$AK$2,ROW($N$3:$N$499)-2),ROW(N36)),2),""))</f>
        <v/>
      </c>
      <c r="AO38" s="55" t="str">
        <f t="array" ref="AO38">IF($AN$2=0,"",IFERROR(INDEX($S$3:$T$366,SMALL(IF($R$3:$R$366=$AN$2,ROW($R$3:$R$366)-2),ROW(T36)),2),""))</f>
        <v/>
      </c>
      <c r="AP38" s="56" t="str">
        <f t="array" ref="AP38">IF($AN$2=0,"",IFERROR(INDEX($R$3:$S$366,SMALL(IF($R$3:$R$366=$AN$2,ROW($R$3:$R$366)-2),ROW(S36)),2),""))</f>
        <v/>
      </c>
      <c r="AR38" s="64" t="str">
        <f t="array" ref="AR38">IF($AN$2=0,"",IFERROR(INDEX($AO$3:$AP$62,SMALL(IF($AO$3:$AO$62=$AR$2,ROW($AO$3:$AO$62)-2),ROW(AO36)),2),""))</f>
        <v/>
      </c>
      <c r="AS38" s="65" t="str">
        <f t="array" ref="AS38">IF($AN$2=0,"",IFERROR(INDEX($AO$3:$AP$62,SMALL(IF($AO$3:$AO$62=$AS$2,ROW($AO$3:$AO$62)-2),ROW(AO36)),2),""))</f>
        <v/>
      </c>
      <c r="AT38" s="66" t="str">
        <f t="array" ref="AT38">IF($AN$2=0,"",IFERROR(INDEX($AO$3:$AP$62,SMALL(IF($AO$3:$AO$62=$AT$2,ROW($AO$3:$AO$62)-2),ROW(AO36)),2),""))</f>
        <v/>
      </c>
      <c r="AU38" s="67" t="str">
        <f t="array" ref="AU38">IF($AN$2=0,"",IFERROR(INDEX($AO$3:$AP$62,SMALL(IF($AO$3:$AO$62=$AU$2,ROW($AO$3:$AO$62)-2),ROW(AO36)),2),""))</f>
        <v/>
      </c>
      <c r="AV38" s="68" t="str">
        <f t="array" ref="AV38">IF($AN$2=0,"",IFERROR(INDEX($AO$3:$AP$62,SMALL(IF($AO$3:$AO$62=$AV$2,ROW($AO$3:$AO$62)-2),ROW(AO36)),2),""))</f>
        <v/>
      </c>
      <c r="AW38" s="69" t="str">
        <f t="array" ref="AW38">IF($AN$2=0,"",IFERROR(INDEX($AO$3:$AP$62,SMALL(IF($AO$3:$AO$62=$AW$2,ROW($AO$3:$AO$62)-2),ROW(AO36)),2),""))</f>
        <v/>
      </c>
      <c r="AX38" s="70" t="str">
        <f t="array" ref="AX38">IF($AN$2=0,"",IFERROR(INDEX($AO$3:$AP$62,SMALL(IF($AO$3:$AO$62=$AX$2,ROW($AO$3:$AO$62)-2),ROW(AO36)),2),""))</f>
        <v/>
      </c>
    </row>
    <row r="39" spans="2:50">
      <c r="B39" s="24" t="s">
        <v>163</v>
      </c>
      <c r="C39" s="24" t="s">
        <v>178</v>
      </c>
      <c r="E39" s="85" t="s">
        <v>92</v>
      </c>
      <c r="F39" s="85" t="s">
        <v>725</v>
      </c>
      <c r="H39" s="29" t="s">
        <v>92</v>
      </c>
      <c r="I39" s="270" t="s">
        <v>1085</v>
      </c>
      <c r="K39" s="241" t="s">
        <v>197</v>
      </c>
      <c r="L39" s="272" t="s">
        <v>205</v>
      </c>
      <c r="N39" s="92" t="s">
        <v>272</v>
      </c>
      <c r="O39" s="92" t="s">
        <v>629</v>
      </c>
      <c r="P39" s="93" t="s">
        <v>1057</v>
      </c>
      <c r="R39" s="52" t="s">
        <v>321</v>
      </c>
      <c r="S39" s="53" t="s">
        <v>898</v>
      </c>
      <c r="T39" s="52" t="s">
        <v>911</v>
      </c>
      <c r="W39" s="50" t="str">
        <f t="array" ref="W39">IF($V$2=0,"",IFERROR(INDEX($B$3:$C$520,SMALL(IF($B$3:$B$520=$V$2,ROW($B$3:$B$520)-2),ROW(B37)),2),""))</f>
        <v/>
      </c>
      <c r="Z39" s="71"/>
      <c r="AC39" s="71"/>
      <c r="AF39" s="71"/>
      <c r="AL39" s="87" t="str">
        <f t="array" ref="AL39">IF($AK$2=0,"",IFERROR(INDEX($N$3:$O$499,SMALL(IF($N$3:$N$499=$AK$2,ROW($N$3:$N$499)-2),ROW(N37)),2),""))</f>
        <v/>
      </c>
      <c r="AO39" s="55" t="str">
        <f t="array" ref="AO39">IF($AN$2=0,"",IFERROR(INDEX($S$3:$T$366,SMALL(IF($R$3:$R$366=$AN$2,ROW($R$3:$R$366)-2),ROW(T37)),2),""))</f>
        <v/>
      </c>
      <c r="AP39" s="56" t="str">
        <f t="array" ref="AP39">IF($AN$2=0,"",IFERROR(INDEX($R$3:$S$366,SMALL(IF($R$3:$R$366=$AN$2,ROW($R$3:$R$366)-2),ROW(S37)),2),""))</f>
        <v/>
      </c>
      <c r="AR39" s="73" t="str">
        <f t="array" ref="AR39">IF($AN$2=0,"",IFERROR(INDEX($AO$3:$AP$62,SMALL(IF($AO$3:$AO$62=$AR$2,ROW($AO$3:$AO$62)-2),ROW(AO37)),2),""))</f>
        <v/>
      </c>
      <c r="AS39" s="74" t="str">
        <f t="array" ref="AS39">IF($AN$2=0,"",IFERROR(INDEX($AO$3:$AP$62,SMALL(IF($AO$3:$AO$62=$AS$2,ROW($AO$3:$AO$62)-2),ROW(AO37)),2),""))</f>
        <v/>
      </c>
      <c r="AT39" s="75" t="str">
        <f t="array" ref="AT39">IF($AN$2=0,"",IFERROR(INDEX($AO$3:$AP$62,SMALL(IF($AO$3:$AO$62=$AT$2,ROW($AO$3:$AO$62)-2),ROW(AO37)),2),""))</f>
        <v/>
      </c>
      <c r="AU39" s="76" t="str">
        <f t="array" ref="AU39">IF($AN$2=0,"",IFERROR(INDEX($AO$3:$AP$62,SMALL(IF($AO$3:$AO$62=$AU$2,ROW($AO$3:$AO$62)-2),ROW(AO37)),2),""))</f>
        <v/>
      </c>
      <c r="AV39" s="77" t="str">
        <f t="array" ref="AV39">IF($AN$2=0,"",IFERROR(INDEX($AO$3:$AP$62,SMALL(IF($AO$3:$AO$62=$AV$2,ROW($AO$3:$AO$62)-2),ROW(AO37)),2),""))</f>
        <v/>
      </c>
      <c r="AW39" s="78" t="str">
        <f t="array" ref="AW39">IF($AN$2=0,"",IFERROR(INDEX($AO$3:$AP$62,SMALL(IF($AO$3:$AO$62=$AW$2,ROW($AO$3:$AO$62)-2),ROW(AO37)),2),""))</f>
        <v/>
      </c>
      <c r="AX39" s="79" t="str">
        <f t="array" ref="AX39">IF($AN$2=0,"",IFERROR(INDEX($AO$3:$AP$62,SMALL(IF($AO$3:$AO$62=$AX$2,ROW($AO$3:$AO$62)-2),ROW(AO37)),2),""))</f>
        <v/>
      </c>
    </row>
    <row r="40" spans="2:50">
      <c r="B40" s="24" t="s">
        <v>163</v>
      </c>
      <c r="C40" s="24" t="s">
        <v>179</v>
      </c>
      <c r="E40" s="85" t="s">
        <v>92</v>
      </c>
      <c r="F40" s="85" t="s">
        <v>690</v>
      </c>
      <c r="H40" s="29" t="s">
        <v>92</v>
      </c>
      <c r="I40" s="270" t="s">
        <v>1086</v>
      </c>
      <c r="K40" s="241" t="s">
        <v>197</v>
      </c>
      <c r="L40" s="272" t="s">
        <v>452</v>
      </c>
      <c r="N40" s="92" t="s">
        <v>92</v>
      </c>
      <c r="O40" s="92" t="s">
        <v>474</v>
      </c>
      <c r="P40" s="93" t="s">
        <v>1057</v>
      </c>
      <c r="R40" s="52" t="s">
        <v>321</v>
      </c>
      <c r="S40" s="53" t="s">
        <v>939</v>
      </c>
      <c r="T40" s="52" t="s">
        <v>911</v>
      </c>
      <c r="W40" s="50" t="str">
        <f t="array" ref="W40">IF($V$2=0,"",IFERROR(INDEX($B$3:$C$520,SMALL(IF($B$3:$B$520=$V$2,ROW($B$3:$B$520)-2),ROW(B38)),2),""))</f>
        <v/>
      </c>
      <c r="Z40" s="71"/>
      <c r="AC40" s="71"/>
      <c r="AF40" s="71"/>
      <c r="AL40" s="87" t="str">
        <f t="array" ref="AL40">IF($AK$2=0,"",IFERROR(INDEX($N$3:$O$499,SMALL(IF($N$3:$N$499=$AK$2,ROW($N$3:$N$499)-2),ROW(N38)),2),""))</f>
        <v/>
      </c>
      <c r="AO40" s="55" t="str">
        <f t="array" ref="AO40">IF($AN$2=0,"",IFERROR(INDEX($S$3:$T$366,SMALL(IF($R$3:$R$366=$AN$2,ROW($R$3:$R$366)-2),ROW(T38)),2),""))</f>
        <v/>
      </c>
      <c r="AP40" s="56" t="str">
        <f t="array" ref="AP40">IF($AN$2=0,"",IFERROR(INDEX($R$3:$S$366,SMALL(IF($R$3:$R$366=$AN$2,ROW($R$3:$R$366)-2),ROW(S38)),2),""))</f>
        <v/>
      </c>
      <c r="AW40" s="35" t="str">
        <f t="array" ref="AW40">IF($AN$2=0,"",IFERROR(INDEX($AO$3:$AP$500,SMALL(IF($AO$3:$AO$500=$AW$2,ROW($AO$3:$AO$500)-2),ROW(AO38)),2),""))</f>
        <v/>
      </c>
    </row>
    <row r="41" spans="2:50">
      <c r="B41" s="24" t="s">
        <v>163</v>
      </c>
      <c r="C41" s="24" t="s">
        <v>180</v>
      </c>
      <c r="E41" s="94" t="s">
        <v>92</v>
      </c>
      <c r="F41" s="94" t="s">
        <v>1048</v>
      </c>
      <c r="H41" s="29" t="s">
        <v>92</v>
      </c>
      <c r="I41" s="270" t="s">
        <v>1087</v>
      </c>
      <c r="K41" s="241" t="s">
        <v>197</v>
      </c>
      <c r="L41" s="272" t="s">
        <v>1094</v>
      </c>
      <c r="N41" s="92" t="s">
        <v>60</v>
      </c>
      <c r="O41" s="92" t="s">
        <v>474</v>
      </c>
      <c r="P41" s="93" t="s">
        <v>1057</v>
      </c>
      <c r="R41" s="52" t="s">
        <v>321</v>
      </c>
      <c r="S41" s="53" t="s">
        <v>940</v>
      </c>
      <c r="T41" s="52" t="s">
        <v>911</v>
      </c>
      <c r="W41" s="50" t="str">
        <f t="array" ref="W41">IF($V$2=0,"",IFERROR(INDEX($B$3:$C$520,SMALL(IF($B$3:$B$520=$V$2,ROW($B$3:$B$520)-2),ROW(B39)),2),""))</f>
        <v/>
      </c>
      <c r="Z41" s="71"/>
      <c r="AC41" s="71"/>
      <c r="AF41" s="71"/>
      <c r="AL41" s="87" t="str">
        <f t="array" ref="AL41">IF($AK$2=0,"",IFERROR(INDEX($N$3:$O$499,SMALL(IF($N$3:$N$499=$AK$2,ROW($N$3:$N$499)-2),ROW(N39)),2),""))</f>
        <v/>
      </c>
      <c r="AO41" s="55" t="str">
        <f t="array" ref="AO41">IF($AN$2=0,"",IFERROR(INDEX($S$3:$T$366,SMALL(IF($R$3:$R$366=$AN$2,ROW($R$3:$R$366)-2),ROW(T39)),2),""))</f>
        <v/>
      </c>
      <c r="AP41" s="56" t="str">
        <f t="array" ref="AP41">IF($AN$2=0,"",IFERROR(INDEX($R$3:$S$366,SMALL(IF($R$3:$R$366=$AN$2,ROW($R$3:$R$366)-2),ROW(S39)),2),""))</f>
        <v/>
      </c>
    </row>
    <row r="42" spans="2:50">
      <c r="B42" s="24" t="s">
        <v>163</v>
      </c>
      <c r="C42" s="24" t="s">
        <v>181</v>
      </c>
      <c r="E42" s="85" t="s">
        <v>132</v>
      </c>
      <c r="F42" s="85" t="s">
        <v>675</v>
      </c>
      <c r="H42" s="29" t="s">
        <v>92</v>
      </c>
      <c r="I42" s="270" t="s">
        <v>209</v>
      </c>
      <c r="K42" s="241" t="s">
        <v>197</v>
      </c>
      <c r="L42" s="272" t="s">
        <v>1095</v>
      </c>
      <c r="N42" s="92" t="s">
        <v>92</v>
      </c>
      <c r="O42" s="92" t="s">
        <v>475</v>
      </c>
      <c r="P42" s="93" t="s">
        <v>1057</v>
      </c>
      <c r="R42" s="52" t="s">
        <v>321</v>
      </c>
      <c r="S42" s="53" t="s">
        <v>941</v>
      </c>
      <c r="T42" s="52" t="s">
        <v>911</v>
      </c>
      <c r="W42" s="50" t="str">
        <f t="array" ref="W42">IF($V$2=0,"",IFERROR(INDEX($B$3:$C$520,SMALL(IF($B$3:$B$520=$V$2,ROW($B$3:$B$520)-2),ROW(B40)),2),""))</f>
        <v/>
      </c>
      <c r="Z42" s="71"/>
      <c r="AC42" s="71"/>
      <c r="AF42" s="71"/>
      <c r="AL42" s="87" t="str">
        <f t="array" ref="AL42">IF($AK$2=0,"",IFERROR(INDEX($N$3:$O$499,SMALL(IF($N$3:$N$499=$AK$2,ROW($N$3:$N$499)-2),ROW(N40)),2),""))</f>
        <v/>
      </c>
      <c r="AO42" s="55" t="str">
        <f t="array" ref="AO42">IF($AN$2=0,"",IFERROR(INDEX($S$3:$T$366,SMALL(IF($R$3:$R$366=$AN$2,ROW($R$3:$R$366)-2),ROW(T40)),2),""))</f>
        <v/>
      </c>
      <c r="AP42" s="56" t="str">
        <f t="array" ref="AP42">IF($AN$2=0,"",IFERROR(INDEX($R$3:$S$366,SMALL(IF($R$3:$R$366=$AN$2,ROW($R$3:$R$366)-2),ROW(S40)),2),""))</f>
        <v/>
      </c>
    </row>
    <row r="43" spans="2:50">
      <c r="B43" s="24" t="s">
        <v>163</v>
      </c>
      <c r="C43" s="24" t="s">
        <v>182</v>
      </c>
      <c r="E43" s="94" t="s">
        <v>132</v>
      </c>
      <c r="F43" s="94" t="s">
        <v>1048</v>
      </c>
      <c r="H43" s="29" t="s">
        <v>60</v>
      </c>
      <c r="I43" s="270" t="s">
        <v>201</v>
      </c>
      <c r="K43" s="241" t="s">
        <v>197</v>
      </c>
      <c r="L43" s="272" t="s">
        <v>451</v>
      </c>
      <c r="N43" s="92" t="s">
        <v>60</v>
      </c>
      <c r="O43" s="92" t="s">
        <v>475</v>
      </c>
      <c r="P43" s="93" t="s">
        <v>1057</v>
      </c>
      <c r="R43" s="52" t="s">
        <v>321</v>
      </c>
      <c r="S43" s="53" t="s">
        <v>899</v>
      </c>
      <c r="T43" s="52" t="s">
        <v>912</v>
      </c>
      <c r="W43" s="50" t="str">
        <f t="array" ref="W43">IF($V$2=0,"",IFERROR(INDEX($B$3:$C$520,SMALL(IF($B$3:$B$520=$V$2,ROW($B$3:$B$520)-2),ROW(B41)),2),""))</f>
        <v/>
      </c>
      <c r="Z43" s="71"/>
      <c r="AC43" s="71"/>
      <c r="AF43" s="71"/>
      <c r="AL43" s="87" t="str">
        <f t="array" ref="AL43">IF($AK$2=0,"",IFERROR(INDEX($N$3:$O$499,SMALL(IF($N$3:$N$499=$AK$2,ROW($N$3:$N$499)-2),ROW(N41)),2),""))</f>
        <v/>
      </c>
      <c r="AO43" s="55" t="str">
        <f t="array" ref="AO43">IF($AN$2=0,"",IFERROR(INDEX($S$3:$T$366,SMALL(IF($R$3:$R$366=$AN$2,ROW($R$3:$R$366)-2),ROW(T41)),2),""))</f>
        <v/>
      </c>
      <c r="AP43" s="56" t="str">
        <f t="array" ref="AP43">IF($AN$2=0,"",IFERROR(INDEX($R$3:$S$366,SMALL(IF($R$3:$R$366=$AN$2,ROW($R$3:$R$366)-2),ROW(S41)),2),""))</f>
        <v/>
      </c>
    </row>
    <row r="44" spans="2:50">
      <c r="B44" s="24" t="s">
        <v>163</v>
      </c>
      <c r="C44" s="24" t="s">
        <v>183</v>
      </c>
      <c r="E44" s="85" t="s">
        <v>161</v>
      </c>
      <c r="F44" s="85" t="s">
        <v>676</v>
      </c>
      <c r="H44" s="29" t="s">
        <v>60</v>
      </c>
      <c r="I44" s="270" t="s">
        <v>202</v>
      </c>
      <c r="K44" s="241" t="s">
        <v>197</v>
      </c>
      <c r="L44" s="272" t="s">
        <v>1101</v>
      </c>
      <c r="N44" s="92" t="s">
        <v>92</v>
      </c>
      <c r="O44" s="92" t="s">
        <v>469</v>
      </c>
      <c r="P44" s="93" t="s">
        <v>1057</v>
      </c>
      <c r="R44" s="52" t="s">
        <v>321</v>
      </c>
      <c r="S44" s="53" t="s">
        <v>942</v>
      </c>
      <c r="T44" s="52" t="s">
        <v>912</v>
      </c>
      <c r="W44" s="50" t="str">
        <f t="array" ref="W44">IF($V$2=0,"",IFERROR(INDEX($B$3:$C$520,SMALL(IF($B$3:$B$520=$V$2,ROW($B$3:$B$520)-2),ROW(B42)),2),""))</f>
        <v/>
      </c>
      <c r="Z44" s="71"/>
      <c r="AC44" s="71"/>
      <c r="AF44" s="71"/>
      <c r="AL44" s="87" t="str">
        <f t="array" ref="AL44">IF($AK$2=0,"",IFERROR(INDEX($N$3:$O$499,SMALL(IF($N$3:$N$499=$AK$2,ROW($N$3:$N$499)-2),ROW(N42)),2),""))</f>
        <v/>
      </c>
      <c r="AO44" s="55" t="str">
        <f t="array" ref="AO44">IF($AN$2=0,"",IFERROR(INDEX($S$3:$T$366,SMALL(IF($R$3:$R$366=$AN$2,ROW($R$3:$R$366)-2),ROW(T42)),2),""))</f>
        <v/>
      </c>
      <c r="AP44" s="56" t="str">
        <f t="array" ref="AP44">IF($AN$2=0,"",IFERROR(INDEX($R$3:$S$366,SMALL(IF($R$3:$R$366=$AN$2,ROW($R$3:$R$366)-2),ROW(S42)),2),""))</f>
        <v/>
      </c>
    </row>
    <row r="45" spans="2:50">
      <c r="B45" s="24" t="s">
        <v>163</v>
      </c>
      <c r="C45" s="24" t="s">
        <v>184</v>
      </c>
      <c r="E45" s="85" t="s">
        <v>161</v>
      </c>
      <c r="F45" s="85" t="s">
        <v>677</v>
      </c>
      <c r="H45" s="29" t="s">
        <v>60</v>
      </c>
      <c r="I45" s="270" t="s">
        <v>203</v>
      </c>
      <c r="K45" s="241" t="s">
        <v>131</v>
      </c>
      <c r="L45" s="272" t="s">
        <v>1099</v>
      </c>
      <c r="N45" s="92" t="s">
        <v>60</v>
      </c>
      <c r="O45" s="92" t="s">
        <v>469</v>
      </c>
      <c r="P45" s="93" t="s">
        <v>1057</v>
      </c>
      <c r="R45" s="52" t="s">
        <v>321</v>
      </c>
      <c r="S45" s="53" t="s">
        <v>905</v>
      </c>
      <c r="T45" s="52" t="s">
        <v>912</v>
      </c>
      <c r="W45" s="50" t="str">
        <f t="array" ref="W45">IF($V$2=0,"",IFERROR(INDEX($B$3:$C$520,SMALL(IF($B$3:$B$520=$V$2,ROW($B$3:$B$520)-2),ROW(B43)),2),""))</f>
        <v/>
      </c>
      <c r="Z45" s="71"/>
      <c r="AC45" s="71"/>
      <c r="AF45" s="71"/>
      <c r="AL45" s="87" t="str">
        <f t="array" ref="AL45">IF($AK$2=0,"",IFERROR(INDEX($N$3:$O$499,SMALL(IF($N$3:$N$499=$AK$2,ROW($N$3:$N$499)-2),ROW(N43)),2),""))</f>
        <v/>
      </c>
      <c r="AO45" s="55" t="str">
        <f t="array" ref="AO45">IF($AN$2=0,"",IFERROR(INDEX($S$3:$T$366,SMALL(IF($R$3:$R$366=$AN$2,ROW($R$3:$R$366)-2),ROW(T43)),2),""))</f>
        <v/>
      </c>
      <c r="AP45" s="56" t="str">
        <f t="array" ref="AP45">IF($AN$2=0,"",IFERROR(INDEX($R$3:$S$366,SMALL(IF($R$3:$R$366=$AN$2,ROW($R$3:$R$366)-2),ROW(S43)),2),""))</f>
        <v/>
      </c>
    </row>
    <row r="46" spans="2:50">
      <c r="B46" s="24" t="s">
        <v>163</v>
      </c>
      <c r="C46" s="24" t="s">
        <v>185</v>
      </c>
      <c r="E46" s="94" t="s">
        <v>161</v>
      </c>
      <c r="F46" s="94" t="s">
        <v>1048</v>
      </c>
      <c r="H46" s="29" t="s">
        <v>60</v>
      </c>
      <c r="I46" s="270" t="s">
        <v>1088</v>
      </c>
      <c r="K46" s="241"/>
      <c r="L46" s="272"/>
      <c r="N46" s="92" t="s">
        <v>92</v>
      </c>
      <c r="O46" s="92" t="s">
        <v>477</v>
      </c>
      <c r="P46" s="93" t="s">
        <v>1057</v>
      </c>
      <c r="R46" s="52" t="s">
        <v>321</v>
      </c>
      <c r="S46" s="53" t="s">
        <v>200</v>
      </c>
      <c r="T46" s="52" t="s">
        <v>912</v>
      </c>
      <c r="W46" s="50" t="str">
        <f t="array" ref="W46">IF($V$2=0,"",IFERROR(INDEX($B$3:$C$520,SMALL(IF($B$3:$B$520=$V$2,ROW($B$3:$B$520)-2),ROW(B44)),2),""))</f>
        <v/>
      </c>
      <c r="Z46" s="71"/>
      <c r="AC46" s="71"/>
      <c r="AF46" s="71"/>
      <c r="AL46" s="87" t="str">
        <f t="array" ref="AL46">IF($AK$2=0,"",IFERROR(INDEX($N$3:$O$499,SMALL(IF($N$3:$N$499=$AK$2,ROW($N$3:$N$499)-2),ROW(N44)),2),""))</f>
        <v/>
      </c>
      <c r="AO46" s="55" t="str">
        <f t="array" ref="AO46">IF($AN$2=0,"",IFERROR(INDEX($S$3:$T$366,SMALL(IF($R$3:$R$366=$AN$2,ROW($R$3:$R$366)-2),ROW(T44)),2),""))</f>
        <v/>
      </c>
      <c r="AP46" s="56" t="str">
        <f t="array" ref="AP46">IF($AN$2=0,"",IFERROR(INDEX($R$3:$S$366,SMALL(IF($R$3:$R$366=$AN$2,ROW($R$3:$R$366)-2),ROW(S44)),2),""))</f>
        <v/>
      </c>
    </row>
    <row r="47" spans="2:50">
      <c r="B47" s="24" t="s">
        <v>163</v>
      </c>
      <c r="C47" s="24" t="s">
        <v>186</v>
      </c>
      <c r="E47" s="85" t="s">
        <v>163</v>
      </c>
      <c r="F47" s="85" t="s">
        <v>731</v>
      </c>
      <c r="H47" s="29" t="s">
        <v>60</v>
      </c>
      <c r="I47" s="270" t="s">
        <v>1114</v>
      </c>
      <c r="K47" s="241"/>
      <c r="L47" s="272"/>
      <c r="N47" s="92" t="s">
        <v>60</v>
      </c>
      <c r="O47" s="92" t="s">
        <v>477</v>
      </c>
      <c r="P47" s="93" t="s">
        <v>1057</v>
      </c>
      <c r="R47" s="52" t="s">
        <v>321</v>
      </c>
      <c r="S47" s="53" t="s">
        <v>906</v>
      </c>
      <c r="T47" s="52" t="s">
        <v>912</v>
      </c>
      <c r="W47" s="50" t="str">
        <f t="array" ref="W47">IF($V$2=0,"",IFERROR(INDEX($B$3:$C$520,SMALL(IF($B$3:$B$520=$V$2,ROW($B$3:$B$520)-2),ROW(B45)),2),""))</f>
        <v/>
      </c>
      <c r="Z47" s="71"/>
      <c r="AC47" s="71"/>
      <c r="AF47" s="71"/>
      <c r="AL47" s="87" t="str">
        <f t="array" ref="AL47">IF($AK$2=0,"",IFERROR(INDEX($N$3:$O$499,SMALL(IF($N$3:$N$499=$AK$2,ROW($N$3:$N$499)-2),ROW(N45)),2),""))</f>
        <v/>
      </c>
      <c r="AO47" s="55" t="str">
        <f t="array" ref="AO47">IF($AN$2=0,"",IFERROR(INDEX($S$3:$T$366,SMALL(IF($R$3:$R$366=$AN$2,ROW($R$3:$R$366)-2),ROW(T45)),2),""))</f>
        <v/>
      </c>
      <c r="AP47" s="56" t="str">
        <f t="array" ref="AP47">IF($AN$2=0,"",IFERROR(INDEX($R$3:$S$366,SMALL(IF($R$3:$R$366=$AN$2,ROW($R$3:$R$366)-2),ROW(S45)),2),""))</f>
        <v/>
      </c>
    </row>
    <row r="48" spans="2:50">
      <c r="B48" s="24" t="s">
        <v>163</v>
      </c>
      <c r="C48" s="24" t="s">
        <v>187</v>
      </c>
      <c r="E48" s="85" t="s">
        <v>163</v>
      </c>
      <c r="F48" s="85" t="s">
        <v>732</v>
      </c>
      <c r="H48" s="29" t="s">
        <v>60</v>
      </c>
      <c r="I48" s="270" t="s">
        <v>1105</v>
      </c>
      <c r="K48" s="241"/>
      <c r="L48" s="272"/>
      <c r="N48" s="92" t="s">
        <v>92</v>
      </c>
      <c r="O48" s="92" t="s">
        <v>468</v>
      </c>
      <c r="P48" s="93" t="s">
        <v>1057</v>
      </c>
      <c r="R48" s="52" t="s">
        <v>321</v>
      </c>
      <c r="S48" s="53" t="s">
        <v>943</v>
      </c>
      <c r="T48" s="52" t="s">
        <v>912</v>
      </c>
      <c r="W48" s="50" t="str">
        <f t="array" ref="W48">IF($V$2=0,"",IFERROR(INDEX($B$3:$C$520,SMALL(IF($B$3:$B$520=$V$2,ROW($B$3:$B$520)-2),ROW(B46)),2),""))</f>
        <v/>
      </c>
      <c r="Z48" s="71"/>
      <c r="AC48" s="71"/>
      <c r="AF48" s="71"/>
      <c r="AL48" s="87" t="str">
        <f t="array" ref="AL48">IF($AK$2=0,"",IFERROR(INDEX($N$3:$O$499,SMALL(IF($N$3:$N$499=$AK$2,ROW($N$3:$N$499)-2),ROW(N46)),2),""))</f>
        <v/>
      </c>
      <c r="AO48" s="55" t="str">
        <f t="array" ref="AO48">IF($AN$2=0,"",IFERROR(INDEX($S$3:$T$366,SMALL(IF($R$3:$R$366=$AN$2,ROW($R$3:$R$366)-2),ROW(T46)),2),""))</f>
        <v/>
      </c>
      <c r="AP48" s="56" t="str">
        <f t="array" ref="AP48">IF($AN$2=0,"",IFERROR(INDEX($R$3:$S$366,SMALL(IF($R$3:$R$366=$AN$2,ROW($R$3:$R$366)-2),ROW(S46)),2),""))</f>
        <v/>
      </c>
    </row>
    <row r="49" spans="2:42">
      <c r="B49" s="24" t="s">
        <v>163</v>
      </c>
      <c r="C49" s="24" t="s">
        <v>188</v>
      </c>
      <c r="E49" s="85" t="s">
        <v>163</v>
      </c>
      <c r="F49" s="85" t="s">
        <v>733</v>
      </c>
      <c r="H49" s="29" t="s">
        <v>60</v>
      </c>
      <c r="I49" s="270" t="s">
        <v>1106</v>
      </c>
      <c r="K49" s="241"/>
      <c r="L49" s="272"/>
      <c r="N49" s="92" t="s">
        <v>60</v>
      </c>
      <c r="O49" s="92" t="s">
        <v>468</v>
      </c>
      <c r="P49" s="93" t="s">
        <v>1057</v>
      </c>
      <c r="R49" s="52" t="s">
        <v>321</v>
      </c>
      <c r="S49" s="53" t="s">
        <v>944</v>
      </c>
      <c r="T49" s="52" t="s">
        <v>429</v>
      </c>
      <c r="W49" s="50" t="str">
        <f t="array" ref="W49">IF($V$2=0,"",IFERROR(INDEX($B$3:$C$520,SMALL(IF($B$3:$B$520=$V$2,ROW($B$3:$B$520)-2),ROW(B47)),2),""))</f>
        <v/>
      </c>
      <c r="Z49" s="71"/>
      <c r="AC49" s="71"/>
      <c r="AF49" s="71"/>
      <c r="AL49" s="87" t="str">
        <f t="array" ref="AL49">IF($AK$2=0,"",IFERROR(INDEX($N$3:$O$499,SMALL(IF($N$3:$N$499=$AK$2,ROW($N$3:$N$499)-2),ROW(N47)),2),""))</f>
        <v/>
      </c>
      <c r="AO49" s="55" t="str">
        <f t="array" ref="AO49">IF($AN$2=0,"",IFERROR(INDEX($S$3:$T$366,SMALL(IF($R$3:$R$366=$AN$2,ROW($R$3:$R$366)-2),ROW(T47)),2),""))</f>
        <v/>
      </c>
      <c r="AP49" s="56" t="str">
        <f t="array" ref="AP49">IF($AN$2=0,"",IFERROR(INDEX($R$3:$S$366,SMALL(IF($R$3:$R$366=$AN$2,ROW($R$3:$R$366)-2),ROW(S47)),2),""))</f>
        <v/>
      </c>
    </row>
    <row r="50" spans="2:42">
      <c r="B50" s="24" t="s">
        <v>163</v>
      </c>
      <c r="C50" s="24" t="s">
        <v>189</v>
      </c>
      <c r="E50" s="85" t="s">
        <v>163</v>
      </c>
      <c r="F50" s="85" t="s">
        <v>734</v>
      </c>
      <c r="H50" s="29" t="s">
        <v>60</v>
      </c>
      <c r="I50" s="270" t="s">
        <v>1115</v>
      </c>
      <c r="K50" s="241"/>
      <c r="L50" s="272"/>
      <c r="N50" s="92" t="s">
        <v>92</v>
      </c>
      <c r="O50" s="92" t="s">
        <v>473</v>
      </c>
      <c r="P50" s="93" t="s">
        <v>1057</v>
      </c>
      <c r="R50" s="52" t="s">
        <v>321</v>
      </c>
      <c r="S50" s="53" t="s">
        <v>900</v>
      </c>
      <c r="T50" s="52" t="s">
        <v>429</v>
      </c>
      <c r="W50" s="50" t="str">
        <f t="array" ref="W50">IF($V$2=0,"",IFERROR(INDEX($B$3:$C$520,SMALL(IF($B$3:$B$520=$V$2,ROW($B$3:$B$520)-2),ROW(B48)),2),""))</f>
        <v/>
      </c>
      <c r="Z50" s="71"/>
      <c r="AC50" s="71"/>
      <c r="AF50" s="71"/>
      <c r="AL50" s="87" t="str">
        <f t="array" ref="AL50">IF($AK$2=0,"",IFERROR(INDEX($N$3:$O$499,SMALL(IF($N$3:$N$499=$AK$2,ROW($N$3:$N$499)-2),ROW(N48)),2),""))</f>
        <v/>
      </c>
      <c r="AO50" s="55" t="str">
        <f t="array" ref="AO50">IF($AN$2=0,"",IFERROR(INDEX($S$3:$T$366,SMALL(IF($R$3:$R$366=$AN$2,ROW($R$3:$R$366)-2),ROW(T48)),2),""))</f>
        <v/>
      </c>
      <c r="AP50" s="56" t="str">
        <f t="array" ref="AP50">IF($AN$2=0,"",IFERROR(INDEX($R$3:$S$366,SMALL(IF($R$3:$R$366=$AN$2,ROW($R$3:$R$366)-2),ROW(S48)),2),""))</f>
        <v/>
      </c>
    </row>
    <row r="51" spans="2:42">
      <c r="B51" s="24" t="s">
        <v>163</v>
      </c>
      <c r="C51" s="24" t="s">
        <v>759</v>
      </c>
      <c r="E51" s="85" t="s">
        <v>163</v>
      </c>
      <c r="F51" s="85" t="s">
        <v>735</v>
      </c>
      <c r="H51" s="29" t="s">
        <v>60</v>
      </c>
      <c r="I51" s="270" t="s">
        <v>1089</v>
      </c>
      <c r="K51" s="241"/>
      <c r="L51" s="272"/>
      <c r="N51" s="92" t="s">
        <v>60</v>
      </c>
      <c r="O51" s="92" t="s">
        <v>473</v>
      </c>
      <c r="P51" s="93" t="s">
        <v>1057</v>
      </c>
      <c r="R51" s="52" t="s">
        <v>321</v>
      </c>
      <c r="S51" s="53" t="s">
        <v>901</v>
      </c>
      <c r="T51" s="52" t="s">
        <v>429</v>
      </c>
      <c r="W51" s="50" t="str">
        <f t="array" ref="W51">IF($V$2=0,"",IFERROR(INDEX($B$3:$C$520,SMALL(IF($B$3:$B$520=$V$2,ROW($B$3:$B$520)-2),ROW(B49)),2),""))</f>
        <v/>
      </c>
      <c r="Z51" s="71"/>
      <c r="AC51" s="71"/>
      <c r="AF51" s="71"/>
      <c r="AL51" s="87" t="str">
        <f t="array" ref="AL51">IF($AK$2=0,"",IFERROR(INDEX($N$3:$O$499,SMALL(IF($N$3:$N$499=$AK$2,ROW($N$3:$N$499)-2),ROW(N49)),2),""))</f>
        <v/>
      </c>
      <c r="AO51" s="55" t="str">
        <f t="array" ref="AO51">IF($AN$2=0,"",IFERROR(INDEX($S$3:$T$366,SMALL(IF($R$3:$R$366=$AN$2,ROW($R$3:$R$366)-2),ROW(T49)),2),""))</f>
        <v/>
      </c>
      <c r="AP51" s="56" t="str">
        <f t="array" ref="AP51">IF($AN$2=0,"",IFERROR(INDEX($R$3:$S$366,SMALL(IF($R$3:$R$366=$AN$2,ROW($R$3:$R$366)-2),ROW(S49)),2),""))</f>
        <v/>
      </c>
    </row>
    <row r="52" spans="2:42">
      <c r="B52" s="24" t="s">
        <v>163</v>
      </c>
      <c r="C52" s="24" t="s">
        <v>761</v>
      </c>
      <c r="E52" s="85" t="s">
        <v>163</v>
      </c>
      <c r="F52" s="85" t="s">
        <v>736</v>
      </c>
      <c r="H52" s="29" t="s">
        <v>60</v>
      </c>
      <c r="I52" s="270" t="s">
        <v>1107</v>
      </c>
      <c r="K52" s="241"/>
      <c r="L52" s="272"/>
      <c r="N52" s="92" t="s">
        <v>92</v>
      </c>
      <c r="O52" s="92" t="s">
        <v>465</v>
      </c>
      <c r="P52" s="93" t="s">
        <v>1057</v>
      </c>
      <c r="R52" s="52" t="s">
        <v>321</v>
      </c>
      <c r="S52" s="53" t="s">
        <v>907</v>
      </c>
      <c r="T52" s="52" t="s">
        <v>429</v>
      </c>
      <c r="W52" s="50" t="str">
        <f t="array" ref="W52">IF($V$2=0,"",IFERROR(INDEX($B$3:$C$520,SMALL(IF($B$3:$B$520=$V$2,ROW($B$3:$B$520)-2),ROW(B50)),2),""))</f>
        <v/>
      </c>
      <c r="Z52" s="71"/>
      <c r="AC52" s="71"/>
      <c r="AF52" s="71"/>
      <c r="AL52" s="87" t="str">
        <f t="array" ref="AL52">IF($AK$2=0,"",IFERROR(INDEX($N$3:$O$499,SMALL(IF($N$3:$N$499=$AK$2,ROW($N$3:$N$499)-2),ROW(N50)),2),""))</f>
        <v/>
      </c>
      <c r="AO52" s="55" t="str">
        <f t="array" ref="AO52">IF($AN$2=0,"",IFERROR(INDEX($S$3:$T$366,SMALL(IF($R$3:$R$366=$AN$2,ROW($R$3:$R$366)-2),ROW(T50)),2),""))</f>
        <v/>
      </c>
      <c r="AP52" s="56" t="str">
        <f t="array" ref="AP52">IF($AN$2=0,"",IFERROR(INDEX($R$3:$S$366,SMALL(IF($R$3:$R$366=$AN$2,ROW($R$3:$R$366)-2),ROW(S50)),2),""))</f>
        <v/>
      </c>
    </row>
    <row r="53" spans="2:42">
      <c r="B53" s="24" t="s">
        <v>163</v>
      </c>
      <c r="C53" s="24" t="s">
        <v>760</v>
      </c>
      <c r="E53" s="85" t="s">
        <v>163</v>
      </c>
      <c r="F53" s="85" t="s">
        <v>737</v>
      </c>
      <c r="H53" s="29" t="s">
        <v>163</v>
      </c>
      <c r="I53" s="270" t="s">
        <v>451</v>
      </c>
      <c r="K53" s="241"/>
      <c r="L53" s="272"/>
      <c r="N53" s="92" t="s">
        <v>60</v>
      </c>
      <c r="O53" s="92" t="s">
        <v>465</v>
      </c>
      <c r="P53" s="93" t="s">
        <v>1057</v>
      </c>
      <c r="R53" s="52" t="s">
        <v>321</v>
      </c>
      <c r="S53" s="53" t="s">
        <v>945</v>
      </c>
      <c r="T53" s="52" t="s">
        <v>429</v>
      </c>
      <c r="W53" s="50" t="str">
        <f t="array" ref="W53">IF($V$2=0,"",IFERROR(INDEX($B$3:$C$520,SMALL(IF($B$3:$B$520=$V$2,ROW($B$3:$B$520)-2),ROW(B51)),2),""))</f>
        <v/>
      </c>
      <c r="Z53" s="71"/>
      <c r="AC53" s="71"/>
      <c r="AF53" s="71"/>
      <c r="AL53" s="87" t="str">
        <f t="array" ref="AL53">IF($AK$2=0,"",IFERROR(INDEX($N$3:$O$499,SMALL(IF($N$3:$N$499=$AK$2,ROW($N$3:$N$499)-2),ROW(N51)),2),""))</f>
        <v/>
      </c>
      <c r="AO53" s="55" t="str">
        <f t="array" ref="AO53">IF($AN$2=0,"",IFERROR(INDEX($S$3:$T$366,SMALL(IF($R$3:$R$366=$AN$2,ROW($R$3:$R$366)-2),ROW(T51)),2),""))</f>
        <v/>
      </c>
      <c r="AP53" s="56" t="str">
        <f t="array" ref="AP53">IF($AN$2=0,"",IFERROR(INDEX($R$3:$S$366,SMALL(IF($R$3:$R$366=$AN$2,ROW($R$3:$R$366)-2),ROW(S51)),2),""))</f>
        <v/>
      </c>
    </row>
    <row r="54" spans="2:42">
      <c r="B54" s="24" t="s">
        <v>163</v>
      </c>
      <c r="C54" s="24" t="s">
        <v>762</v>
      </c>
      <c r="E54" s="85" t="s">
        <v>163</v>
      </c>
      <c r="F54" s="85" t="s">
        <v>738</v>
      </c>
      <c r="H54" s="29" t="s">
        <v>163</v>
      </c>
      <c r="I54" s="270" t="s">
        <v>1108</v>
      </c>
      <c r="K54" s="241"/>
      <c r="L54" s="272"/>
      <c r="N54" s="92" t="s">
        <v>92</v>
      </c>
      <c r="O54" s="92" t="s">
        <v>478</v>
      </c>
      <c r="P54" s="93" t="s">
        <v>1057</v>
      </c>
      <c r="R54" s="52" t="s">
        <v>321</v>
      </c>
      <c r="S54" s="53" t="s">
        <v>436</v>
      </c>
      <c r="T54" s="52" t="s">
        <v>429</v>
      </c>
      <c r="W54" s="50" t="str">
        <f t="array" ref="W54">IF($V$2=0,"",IFERROR(INDEX($B$3:$C$520,SMALL(IF($B$3:$B$520=$V$2,ROW($B$3:$B$520)-2),ROW(B52)),2),""))</f>
        <v/>
      </c>
      <c r="Z54" s="71"/>
      <c r="AC54" s="71"/>
      <c r="AF54" s="71"/>
      <c r="AL54" s="87" t="str">
        <f t="array" ref="AL54">IF($AK$2=0,"",IFERROR(INDEX($N$3:$O$499,SMALL(IF($N$3:$N$499=$AK$2,ROW($N$3:$N$499)-2),ROW(N52)),2),""))</f>
        <v/>
      </c>
      <c r="AO54" s="55" t="str">
        <f t="array" ref="AO54">IF($AN$2=0,"",IFERROR(INDEX($S$3:$T$366,SMALL(IF($R$3:$R$366=$AN$2,ROW($R$3:$R$366)-2),ROW(T52)),2),""))</f>
        <v/>
      </c>
      <c r="AP54" s="56" t="str">
        <f t="array" ref="AP54">IF($AN$2=0,"",IFERROR(INDEX($R$3:$S$366,SMALL(IF($R$3:$R$366=$AN$2,ROW($R$3:$R$366)-2),ROW(S52)),2),""))</f>
        <v/>
      </c>
    </row>
    <row r="55" spans="2:42">
      <c r="B55" s="24" t="s">
        <v>197</v>
      </c>
      <c r="C55" s="24" t="s">
        <v>190</v>
      </c>
      <c r="E55" s="85" t="s">
        <v>163</v>
      </c>
      <c r="F55" s="85" t="s">
        <v>739</v>
      </c>
      <c r="H55" s="29" t="s">
        <v>163</v>
      </c>
      <c r="I55" s="270" t="s">
        <v>1088</v>
      </c>
      <c r="K55" s="241"/>
      <c r="L55" s="272"/>
      <c r="N55" s="92" t="s">
        <v>60</v>
      </c>
      <c r="O55" s="92" t="s">
        <v>478</v>
      </c>
      <c r="P55" s="93" t="s">
        <v>1057</v>
      </c>
      <c r="R55" s="52" t="s">
        <v>321</v>
      </c>
      <c r="S55" s="53" t="s">
        <v>946</v>
      </c>
      <c r="T55" s="52" t="s">
        <v>429</v>
      </c>
      <c r="W55" s="50" t="str">
        <f t="array" ref="W55">IF($V$2=0,"",IFERROR(INDEX($B$3:$C$520,SMALL(IF($B$3:$B$520=$V$2,ROW($B$3:$B$520)-2),ROW(B53)),2),""))</f>
        <v/>
      </c>
      <c r="Z55" s="71"/>
      <c r="AC55" s="71"/>
      <c r="AF55" s="71"/>
      <c r="AL55" s="87" t="str">
        <f t="array" ref="AL55">IF($AK$2=0,"",IFERROR(INDEX($N$3:$O$499,SMALL(IF($N$3:$N$499=$AK$2,ROW($N$3:$N$499)-2),ROW(N53)),2),""))</f>
        <v/>
      </c>
      <c r="AO55" s="55" t="str">
        <f t="array" ref="AO55">IF($AN$2=0,"",IFERROR(INDEX($S$3:$T$366,SMALL(IF($R$3:$R$366=$AN$2,ROW($R$3:$R$366)-2),ROW(T53)),2),""))</f>
        <v/>
      </c>
      <c r="AP55" s="56" t="str">
        <f t="array" ref="AP55">IF($AN$2=0,"",IFERROR(INDEX($R$3:$S$366,SMALL(IF($R$3:$R$366=$AN$2,ROW($R$3:$R$366)-2),ROW(S53)),2),""))</f>
        <v/>
      </c>
    </row>
    <row r="56" spans="2:42">
      <c r="B56" s="24" t="s">
        <v>197</v>
      </c>
      <c r="C56" s="24" t="s">
        <v>191</v>
      </c>
      <c r="E56" s="85" t="s">
        <v>163</v>
      </c>
      <c r="F56" s="85" t="s">
        <v>740</v>
      </c>
      <c r="H56" s="29" t="s">
        <v>163</v>
      </c>
      <c r="I56" s="270" t="s">
        <v>1109</v>
      </c>
      <c r="K56" s="241"/>
      <c r="L56" s="272"/>
      <c r="N56" s="92" t="s">
        <v>92</v>
      </c>
      <c r="O56" s="92" t="s">
        <v>479</v>
      </c>
      <c r="P56" s="93" t="s">
        <v>1057</v>
      </c>
      <c r="R56" s="52" t="s">
        <v>272</v>
      </c>
      <c r="S56" s="53" t="s">
        <v>915</v>
      </c>
      <c r="T56" s="52" t="s">
        <v>908</v>
      </c>
      <c r="W56" s="50" t="str">
        <f t="array" ref="W56">IF($V$2=0,"",IFERROR(INDEX($B$3:$C$520,SMALL(IF($B$3:$B$520=$V$2,ROW($B$3:$B$520)-2),ROW(B54)),2),""))</f>
        <v/>
      </c>
      <c r="Z56" s="71"/>
      <c r="AC56" s="71"/>
      <c r="AF56" s="71"/>
      <c r="AL56" s="87" t="str">
        <f t="array" ref="AL56">IF($AK$2=0,"",IFERROR(INDEX($N$3:$O$499,SMALL(IF($N$3:$N$499=$AK$2,ROW($N$3:$N$499)-2),ROW(N54)),2),""))</f>
        <v/>
      </c>
      <c r="AO56" s="55" t="str">
        <f t="array" ref="AO56">IF($AN$2=0,"",IFERROR(INDEX($S$3:$T$366,SMALL(IF($R$3:$R$366=$AN$2,ROW($R$3:$R$366)-2),ROW(T54)),2),""))</f>
        <v/>
      </c>
      <c r="AP56" s="56" t="str">
        <f t="array" ref="AP56">IF($AN$2=0,"",IFERROR(INDEX($R$3:$S$366,SMALL(IF($R$3:$R$366=$AN$2,ROW($R$3:$R$366)-2),ROW(S54)),2),""))</f>
        <v/>
      </c>
    </row>
    <row r="57" spans="2:42">
      <c r="B57" s="24" t="s">
        <v>197</v>
      </c>
      <c r="C57" s="24" t="s">
        <v>192</v>
      </c>
      <c r="E57" s="85" t="s">
        <v>163</v>
      </c>
      <c r="F57" s="85" t="s">
        <v>885</v>
      </c>
      <c r="H57" s="29" t="s">
        <v>163</v>
      </c>
      <c r="I57" s="270" t="s">
        <v>1110</v>
      </c>
      <c r="K57" s="241"/>
      <c r="L57" s="272"/>
      <c r="N57" s="92" t="s">
        <v>60</v>
      </c>
      <c r="O57" s="92" t="s">
        <v>479</v>
      </c>
      <c r="P57" s="93" t="s">
        <v>1057</v>
      </c>
      <c r="R57" s="52" t="s">
        <v>272</v>
      </c>
      <c r="S57" s="53" t="s">
        <v>918</v>
      </c>
      <c r="T57" s="52" t="s">
        <v>908</v>
      </c>
      <c r="W57" s="50" t="str">
        <f t="array" ref="W57">IF($V$2=0,"",IFERROR(INDEX($B$3:$C$520,SMALL(IF($B$3:$B$520=$V$2,ROW($B$3:$B$520)-2),ROW(B55)),2),""))</f>
        <v/>
      </c>
      <c r="Z57" s="71"/>
      <c r="AC57" s="71"/>
      <c r="AF57" s="71"/>
      <c r="AL57" s="87" t="str">
        <f t="array" ref="AL57">IF($AK$2=0,"",IFERROR(INDEX($N$3:$O$499,SMALL(IF($N$3:$N$499=$AK$2,ROW($N$3:$N$499)-2),ROW(N55)),2),""))</f>
        <v/>
      </c>
      <c r="AO57" s="55" t="str">
        <f t="array" ref="AO57">IF($AN$2=0,"",IFERROR(INDEX($S$3:$T$366,SMALL(IF($R$3:$R$366=$AN$2,ROW($R$3:$R$366)-2),ROW(T55)),2),""))</f>
        <v/>
      </c>
      <c r="AP57" s="56" t="str">
        <f t="array" ref="AP57">IF($AN$2=0,"",IFERROR(INDEX($R$3:$S$366,SMALL(IF($R$3:$R$366=$AN$2,ROW($R$3:$R$366)-2),ROW(S55)),2),""))</f>
        <v/>
      </c>
    </row>
    <row r="58" spans="2:42">
      <c r="B58" s="24" t="s">
        <v>197</v>
      </c>
      <c r="C58" s="24" t="s">
        <v>193</v>
      </c>
      <c r="E58" s="85" t="s">
        <v>163</v>
      </c>
      <c r="F58" s="85" t="s">
        <v>886</v>
      </c>
      <c r="H58" s="29" t="s">
        <v>163</v>
      </c>
      <c r="I58" s="270" t="s">
        <v>203</v>
      </c>
      <c r="K58" s="241"/>
      <c r="L58" s="272"/>
      <c r="N58" s="92" t="s">
        <v>92</v>
      </c>
      <c r="O58" s="92" t="s">
        <v>480</v>
      </c>
      <c r="P58" s="93" t="s">
        <v>1057</v>
      </c>
      <c r="R58" s="52" t="s">
        <v>272</v>
      </c>
      <c r="S58" s="53" t="s">
        <v>919</v>
      </c>
      <c r="T58" s="52" t="s">
        <v>908</v>
      </c>
      <c r="W58" s="50" t="str">
        <f t="array" ref="W58">IF($V$2=0,"",IFERROR(INDEX($B$3:$C$520,SMALL(IF($B$3:$B$520=$V$2,ROW($B$3:$B$520)-2),ROW(B56)),2),""))</f>
        <v/>
      </c>
      <c r="Z58" s="71"/>
      <c r="AC58" s="71"/>
      <c r="AF58" s="71"/>
      <c r="AL58" s="87" t="str">
        <f t="array" ref="AL58">IF($AK$2=0,"",IFERROR(INDEX($N$3:$O$499,SMALL(IF($N$3:$N$499=$AK$2,ROW($N$3:$N$499)-2),ROW(N56)),2),""))</f>
        <v/>
      </c>
      <c r="AO58" s="55" t="str">
        <f t="array" ref="AO58">IF($AN$2=0,"",IFERROR(INDEX($S$3:$T$366,SMALL(IF($R$3:$R$366=$AN$2,ROW($R$3:$R$366)-2),ROW(T56)),2),""))</f>
        <v/>
      </c>
      <c r="AP58" s="56" t="str">
        <f t="array" ref="AP58">IF($AN$2=0,"",IFERROR(INDEX($R$3:$S$366,SMALL(IF($R$3:$R$366=$AN$2,ROW($R$3:$R$366)-2),ROW(S56)),2),""))</f>
        <v/>
      </c>
    </row>
    <row r="59" spans="2:42">
      <c r="B59" s="24" t="s">
        <v>197</v>
      </c>
      <c r="C59" s="24" t="s">
        <v>194</v>
      </c>
      <c r="E59" s="85" t="s">
        <v>163</v>
      </c>
      <c r="F59" s="85" t="s">
        <v>887</v>
      </c>
      <c r="H59" s="29" t="s">
        <v>163</v>
      </c>
      <c r="I59" s="270" t="s">
        <v>1090</v>
      </c>
      <c r="K59" s="241"/>
      <c r="L59" s="272"/>
      <c r="N59" s="92" t="s">
        <v>60</v>
      </c>
      <c r="O59" s="92" t="s">
        <v>480</v>
      </c>
      <c r="P59" s="93" t="s">
        <v>1057</v>
      </c>
      <c r="R59" s="52" t="s">
        <v>272</v>
      </c>
      <c r="S59" s="53" t="s">
        <v>921</v>
      </c>
      <c r="T59" s="52" t="s">
        <v>908</v>
      </c>
      <c r="W59" s="50" t="str">
        <f t="array" ref="W59">IF($V$2=0,"",IFERROR(INDEX($B$3:$C$520,SMALL(IF($B$3:$B$520=$V$2,ROW($B$3:$B$520)-2),ROW(B57)),2),""))</f>
        <v/>
      </c>
      <c r="Z59" s="71"/>
      <c r="AC59" s="71"/>
      <c r="AF59" s="71"/>
      <c r="AL59" s="87" t="str">
        <f t="array" ref="AL59">IF($AK$2=0,"",IFERROR(INDEX($N$3:$O$499,SMALL(IF($N$3:$N$499=$AK$2,ROW($N$3:$N$499)-2),ROW(N57)),2),""))</f>
        <v/>
      </c>
      <c r="AO59" s="55" t="str">
        <f t="array" ref="AO59">IF($AN$2=0,"",IFERROR(INDEX($S$3:$T$366,SMALL(IF($R$3:$R$366=$AN$2,ROW($R$3:$R$366)-2),ROW(T57)),2),""))</f>
        <v/>
      </c>
      <c r="AP59" s="56" t="str">
        <f t="array" ref="AP59">IF($AN$2=0,"",IFERROR(INDEX($R$3:$S$366,SMALL(IF($R$3:$R$366=$AN$2,ROW($R$3:$R$366)-2),ROW(S57)),2),""))</f>
        <v/>
      </c>
    </row>
    <row r="60" spans="2:42">
      <c r="B60" s="24" t="s">
        <v>197</v>
      </c>
      <c r="C60" s="24" t="s">
        <v>195</v>
      </c>
      <c r="E60" s="85" t="s">
        <v>163</v>
      </c>
      <c r="F60" s="85" t="s">
        <v>888</v>
      </c>
      <c r="H60" s="29" t="s">
        <v>163</v>
      </c>
      <c r="I60" s="270" t="s">
        <v>1091</v>
      </c>
      <c r="K60" s="241"/>
      <c r="L60" s="272"/>
      <c r="N60" s="92" t="s">
        <v>60</v>
      </c>
      <c r="O60" s="92" t="s">
        <v>546</v>
      </c>
      <c r="P60" s="93" t="s">
        <v>1057</v>
      </c>
      <c r="R60" s="52" t="s">
        <v>272</v>
      </c>
      <c r="S60" s="53" t="s">
        <v>893</v>
      </c>
      <c r="T60" s="52" t="s">
        <v>909</v>
      </c>
      <c r="W60" s="50" t="str">
        <f t="array" ref="W60">IF($V$2=0,"",IFERROR(INDEX($B$3:$C$520,SMALL(IF($B$3:$B$520=$V$2,ROW($B$3:$B$520)-2),ROW(B58)),2),""))</f>
        <v/>
      </c>
      <c r="Z60" s="71"/>
      <c r="AC60" s="71"/>
      <c r="AF60" s="71"/>
      <c r="AL60" s="87" t="str">
        <f t="array" ref="AL60">IF($AK$2=0,"",IFERROR(INDEX($N$3:$O$499,SMALL(IF($N$3:$N$499=$AK$2,ROW($N$3:$N$499)-2),ROW(N58)),2),""))</f>
        <v/>
      </c>
      <c r="AO60" s="55" t="str">
        <f t="array" ref="AO60">IF($AN$2=0,"",IFERROR(INDEX($S$3:$T$366,SMALL(IF($R$3:$R$366=$AN$2,ROW($R$3:$R$366)-2),ROW(T58)),2),""))</f>
        <v/>
      </c>
      <c r="AP60" s="56" t="str">
        <f t="array" ref="AP60">IF($AN$2=0,"",IFERROR(INDEX($R$3:$S$366,SMALL(IF($R$3:$R$366=$AN$2,ROW($R$3:$R$366)-2),ROW(S58)),2),""))</f>
        <v/>
      </c>
    </row>
    <row r="61" spans="2:42">
      <c r="B61" s="24" t="s">
        <v>197</v>
      </c>
      <c r="C61" s="24" t="s">
        <v>196</v>
      </c>
      <c r="E61" s="85" t="s">
        <v>163</v>
      </c>
      <c r="F61" s="85" t="s">
        <v>838</v>
      </c>
      <c r="H61" s="29" t="s">
        <v>163</v>
      </c>
      <c r="I61" s="270" t="s">
        <v>1092</v>
      </c>
      <c r="K61" s="241"/>
      <c r="L61" s="272"/>
      <c r="N61" s="92" t="s">
        <v>321</v>
      </c>
      <c r="O61" s="92" t="s">
        <v>562</v>
      </c>
      <c r="P61" s="93" t="s">
        <v>6</v>
      </c>
      <c r="R61" s="52" t="s">
        <v>272</v>
      </c>
      <c r="S61" s="53" t="s">
        <v>922</v>
      </c>
      <c r="T61" s="52" t="s">
        <v>909</v>
      </c>
      <c r="W61" s="50" t="str">
        <f t="array" ref="W61">IF($V$2=0,"",IFERROR(INDEX($B$3:$C$520,SMALL(IF($B$3:$B$520=$V$2,ROW($B$3:$B$520)-2),ROW(B59)),2),""))</f>
        <v/>
      </c>
      <c r="Z61" s="71"/>
      <c r="AC61" s="71"/>
      <c r="AF61" s="71"/>
      <c r="AL61" s="87" t="str">
        <f t="array" ref="AL61">IF($AK$2=0,"",IFERROR(INDEX($N$3:$O$499,SMALL(IF($N$3:$N$499=$AK$2,ROW($N$3:$N$499)-2),ROW(N59)),2),""))</f>
        <v/>
      </c>
      <c r="AO61" s="55" t="str">
        <f t="array" ref="AO61">IF($AN$2=0,"",IFERROR(INDEX($S$3:$T$366,SMALL(IF($R$3:$R$366=$AN$2,ROW($R$3:$R$366)-2),ROW(T59)),2),""))</f>
        <v/>
      </c>
      <c r="AP61" s="56" t="str">
        <f t="array" ref="AP61">IF($AN$2=0,"",IFERROR(INDEX($R$3:$S$366,SMALL(IF($R$3:$R$366=$AN$2,ROW($R$3:$R$366)-2),ROW(S59)),2),""))</f>
        <v/>
      </c>
    </row>
    <row r="62" spans="2:42">
      <c r="B62" s="24" t="s">
        <v>272</v>
      </c>
      <c r="C62" s="24" t="s">
        <v>210</v>
      </c>
      <c r="E62" s="85" t="s">
        <v>163</v>
      </c>
      <c r="F62" s="85" t="s">
        <v>837</v>
      </c>
      <c r="H62" s="29" t="s">
        <v>163</v>
      </c>
      <c r="I62" s="270" t="s">
        <v>1093</v>
      </c>
      <c r="K62" s="241"/>
      <c r="L62" s="272"/>
      <c r="N62" s="92" t="s">
        <v>321</v>
      </c>
      <c r="O62" s="92" t="s">
        <v>563</v>
      </c>
      <c r="P62" s="93" t="s">
        <v>6</v>
      </c>
      <c r="R62" s="52" t="s">
        <v>272</v>
      </c>
      <c r="S62" s="53" t="s">
        <v>947</v>
      </c>
      <c r="T62" s="52" t="s">
        <v>909</v>
      </c>
      <c r="W62" s="50" t="str">
        <f t="array" ref="W62">IF($V$2=0,"",IFERROR(INDEX($B$3:$C$520,SMALL(IF($B$3:$B$520=$V$2,ROW($B$3:$B$520)-2),ROW(B60)),2),""))</f>
        <v/>
      </c>
      <c r="Z62" s="71"/>
      <c r="AC62" s="71"/>
      <c r="AF62" s="71"/>
      <c r="AL62" s="87" t="str">
        <f t="array" ref="AL62">IF($AK$2=0,"",IFERROR(INDEX($N$3:$O$499,SMALL(IF($N$3:$N$499=$AK$2,ROW($N$3:$N$499)-2),ROW(N60)),2),""))</f>
        <v/>
      </c>
      <c r="AO62" s="55" t="str">
        <f t="array" ref="AO62">IF($AN$2=0,"",IFERROR(INDEX($S$3:$T$366,SMALL(IF($R$3:$R$366=$AN$2,ROW($R$3:$R$366)-2),ROW(T60)),2),""))</f>
        <v/>
      </c>
      <c r="AP62" s="56" t="str">
        <f t="array" ref="AP62">IF($AN$2=0,"",IFERROR(INDEX($R$3:$S$366,SMALL(IF($R$3:$R$366=$AN$2,ROW($R$3:$R$366)-2),ROW(S60)),2),""))</f>
        <v/>
      </c>
    </row>
    <row r="63" spans="2:42">
      <c r="B63" s="24" t="s">
        <v>272</v>
      </c>
      <c r="C63" s="24" t="s">
        <v>211</v>
      </c>
      <c r="E63" s="85" t="s">
        <v>163</v>
      </c>
      <c r="F63" s="85" t="s">
        <v>889</v>
      </c>
      <c r="H63" s="29" t="s">
        <v>197</v>
      </c>
      <c r="I63" s="270" t="s">
        <v>207</v>
      </c>
      <c r="K63" s="241"/>
      <c r="L63" s="272"/>
      <c r="N63" s="92" t="s">
        <v>131</v>
      </c>
      <c r="O63" s="92" t="s">
        <v>527</v>
      </c>
      <c r="P63" s="93" t="s">
        <v>6</v>
      </c>
      <c r="R63" s="52" t="s">
        <v>272</v>
      </c>
      <c r="S63" s="53" t="s">
        <v>932</v>
      </c>
      <c r="T63" s="52" t="s">
        <v>966</v>
      </c>
      <c r="W63" s="50" t="str">
        <f t="array" ref="W63">IF($V$2=0,"",IFERROR(INDEX($B$3:$C$520,SMALL(IF($B$3:$B$520=$V$2,ROW($B$3:$B$520)-2),ROW(B61)),2),""))</f>
        <v/>
      </c>
      <c r="Z63" s="71"/>
      <c r="AC63" s="71"/>
      <c r="AF63" s="71"/>
      <c r="AL63" s="87" t="str">
        <f t="array" ref="AL63">IF($AK$2=0,"",IFERROR(INDEX($N$3:$O$499,SMALL(IF($N$3:$N$499=$AK$2,ROW($N$3:$N$499)-2),ROW(N61)),2),""))</f>
        <v/>
      </c>
      <c r="AO63" s="36"/>
      <c r="AP63" s="80"/>
    </row>
    <row r="64" spans="2:42">
      <c r="B64" s="24" t="s">
        <v>272</v>
      </c>
      <c r="C64" s="24" t="s">
        <v>212</v>
      </c>
      <c r="E64" s="85" t="s">
        <v>163</v>
      </c>
      <c r="F64" s="85" t="s">
        <v>890</v>
      </c>
      <c r="H64" s="29" t="s">
        <v>197</v>
      </c>
      <c r="I64" s="270" t="s">
        <v>208</v>
      </c>
      <c r="K64" s="241"/>
      <c r="L64" s="272"/>
      <c r="N64" s="92" t="s">
        <v>131</v>
      </c>
      <c r="O64" s="92" t="s">
        <v>528</v>
      </c>
      <c r="P64" s="93" t="s">
        <v>6</v>
      </c>
      <c r="R64" s="52" t="s">
        <v>272</v>
      </c>
      <c r="S64" s="53" t="s">
        <v>927</v>
      </c>
      <c r="T64" s="52" t="s">
        <v>966</v>
      </c>
      <c r="W64" s="50" t="str">
        <f t="array" ref="W64">IF($V$2=0,"",IFERROR(INDEX($B$3:$C$520,SMALL(IF($B$3:$B$520=$V$2,ROW($B$3:$B$520)-2),ROW(B62)),2),""))</f>
        <v/>
      </c>
      <c r="Z64" s="71"/>
      <c r="AC64" s="71"/>
      <c r="AF64" s="71"/>
      <c r="AL64" s="87" t="str">
        <f t="array" ref="AL64">IF($AK$2=0,"",IFERROR(INDEX($N$3:$O$499,SMALL(IF($N$3:$N$499=$AK$2,ROW($N$3:$N$499)-2),ROW(N62)),2),""))</f>
        <v/>
      </c>
      <c r="AO64" s="36"/>
      <c r="AP64" s="80"/>
    </row>
    <row r="65" spans="2:42">
      <c r="B65" s="24" t="s">
        <v>272</v>
      </c>
      <c r="C65" s="24" t="s">
        <v>213</v>
      </c>
      <c r="E65" s="85" t="s">
        <v>163</v>
      </c>
      <c r="F65" s="85" t="s">
        <v>891</v>
      </c>
      <c r="H65" s="29" t="s">
        <v>197</v>
      </c>
      <c r="I65" s="270" t="s">
        <v>203</v>
      </c>
      <c r="K65" s="241"/>
      <c r="L65" s="272"/>
      <c r="N65" s="92" t="s">
        <v>131</v>
      </c>
      <c r="O65" s="92" t="s">
        <v>529</v>
      </c>
      <c r="P65" s="93" t="s">
        <v>1058</v>
      </c>
      <c r="R65" s="52" t="s">
        <v>272</v>
      </c>
      <c r="S65" s="53" t="s">
        <v>936</v>
      </c>
      <c r="T65" s="52" t="s">
        <v>966</v>
      </c>
      <c r="W65" s="50" t="str">
        <f t="array" ref="W65">IF($V$2=0,"",IFERROR(INDEX($B$3:$C$520,SMALL(IF($B$3:$B$520=$V$2,ROW($B$3:$B$520)-2),ROW(B63)),2),""))</f>
        <v/>
      </c>
      <c r="Z65" s="71"/>
      <c r="AC65" s="71"/>
      <c r="AF65" s="71"/>
      <c r="AL65" s="87" t="str">
        <f t="array" ref="AL65">IF($AK$2=0,"",IFERROR(INDEX($N$3:$O$499,SMALL(IF($N$3:$N$499=$AK$2,ROW($N$3:$N$499)-2),ROW(N63)),2),""))</f>
        <v/>
      </c>
      <c r="AO65" s="36"/>
      <c r="AP65" s="80"/>
    </row>
    <row r="66" spans="2:42">
      <c r="B66" s="24" t="s">
        <v>272</v>
      </c>
      <c r="C66" s="24" t="s">
        <v>214</v>
      </c>
      <c r="E66" s="85" t="s">
        <v>163</v>
      </c>
      <c r="F66" s="85" t="s">
        <v>892</v>
      </c>
      <c r="H66" s="29" t="s">
        <v>197</v>
      </c>
      <c r="I66" s="270" t="s">
        <v>204</v>
      </c>
      <c r="K66" s="241"/>
      <c r="L66" s="272"/>
      <c r="N66" s="92" t="s">
        <v>384</v>
      </c>
      <c r="O66" s="92" t="s">
        <v>425</v>
      </c>
      <c r="P66" s="93" t="s">
        <v>1057</v>
      </c>
      <c r="R66" s="52" t="s">
        <v>272</v>
      </c>
      <c r="S66" s="53" t="s">
        <v>928</v>
      </c>
      <c r="T66" s="52" t="s">
        <v>966</v>
      </c>
      <c r="W66" s="50" t="str">
        <f t="array" ref="W66">IF($V$2=0,"",IFERROR(INDEX($B$3:$C$520,SMALL(IF($B$3:$B$520=$V$2,ROW($B$3:$B$520)-2),ROW(B64)),2),""))</f>
        <v/>
      </c>
      <c r="Z66" s="71"/>
      <c r="AC66" s="71"/>
      <c r="AF66" s="71"/>
      <c r="AL66" s="87" t="str">
        <f t="array" ref="AL66">IF($AK$2=0,"",IFERROR(INDEX($N$3:$O$499,SMALL(IF($N$3:$N$499=$AK$2,ROW($N$3:$N$499)-2),ROW(N64)),2),""))</f>
        <v/>
      </c>
      <c r="AO66" s="36"/>
      <c r="AP66" s="80"/>
    </row>
    <row r="67" spans="2:42">
      <c r="B67" s="24" t="s">
        <v>272</v>
      </c>
      <c r="C67" s="24" t="s">
        <v>215</v>
      </c>
      <c r="E67" s="94" t="s">
        <v>163</v>
      </c>
      <c r="F67" s="94" t="s">
        <v>1048</v>
      </c>
      <c r="H67" s="29" t="s">
        <v>197</v>
      </c>
      <c r="I67" s="270" t="s">
        <v>205</v>
      </c>
      <c r="K67" s="241"/>
      <c r="L67" s="272"/>
      <c r="N67" s="92" t="s">
        <v>272</v>
      </c>
      <c r="O67" s="92" t="s">
        <v>661</v>
      </c>
      <c r="P67" s="93" t="s">
        <v>1057</v>
      </c>
      <c r="R67" s="52" t="s">
        <v>272</v>
      </c>
      <c r="S67" s="53" t="s">
        <v>926</v>
      </c>
      <c r="T67" s="52" t="s">
        <v>966</v>
      </c>
      <c r="W67" s="50" t="str">
        <f t="array" ref="W67">IF($V$2=0,"",IFERROR(INDEX($B$3:$C$520,SMALL(IF($B$3:$B$520=$V$2,ROW($B$3:$B$520)-2),ROW(B65)),2),""))</f>
        <v/>
      </c>
      <c r="Z67" s="71"/>
      <c r="AC67" s="71"/>
      <c r="AF67" s="71"/>
      <c r="AL67" s="87" t="str">
        <f t="array" ref="AL67">IF($AK$2=0,"",IFERROR(INDEX($N$3:$O$499,SMALL(IF($N$3:$N$499=$AK$2,ROW($N$3:$N$499)-2),ROW(N65)),2),""))</f>
        <v/>
      </c>
      <c r="AO67" s="36"/>
      <c r="AP67" s="80"/>
    </row>
    <row r="68" spans="2:42">
      <c r="B68" s="24" t="s">
        <v>272</v>
      </c>
      <c r="C68" s="24" t="s">
        <v>216</v>
      </c>
      <c r="E68" s="85" t="s">
        <v>197</v>
      </c>
      <c r="F68" s="85" t="s">
        <v>669</v>
      </c>
      <c r="H68" s="29" t="s">
        <v>197</v>
      </c>
      <c r="I68" s="270" t="s">
        <v>452</v>
      </c>
      <c r="K68" s="241"/>
      <c r="L68" s="272"/>
      <c r="N68" s="92" t="s">
        <v>272</v>
      </c>
      <c r="O68" s="92" t="s">
        <v>662</v>
      </c>
      <c r="P68" s="93" t="s">
        <v>1057</v>
      </c>
      <c r="R68" s="52" t="s">
        <v>272</v>
      </c>
      <c r="S68" s="53" t="s">
        <v>937</v>
      </c>
      <c r="T68" s="52" t="s">
        <v>966</v>
      </c>
      <c r="W68" s="50" t="str">
        <f t="array" ref="W68">IF($V$2=0,"",IFERROR(INDEX($B$3:$C$520,SMALL(IF($B$3:$B$520=$V$2,ROW($B$3:$B$520)-2),ROW(B66)),2),""))</f>
        <v/>
      </c>
      <c r="Z68" s="71"/>
      <c r="AC68" s="71"/>
      <c r="AF68" s="71"/>
      <c r="AL68" s="87" t="str">
        <f t="array" ref="AL68">IF($AK$2=0,"",IFERROR(INDEX($N$3:$O$499,SMALL(IF($N$3:$N$499=$AK$2,ROW($N$3:$N$499)-2),ROW(N66)),2),""))</f>
        <v/>
      </c>
      <c r="AO68" s="36"/>
      <c r="AP68" s="80"/>
    </row>
    <row r="69" spans="2:42">
      <c r="B69" s="24" t="s">
        <v>272</v>
      </c>
      <c r="C69" s="24" t="s">
        <v>217</v>
      </c>
      <c r="E69" s="85" t="s">
        <v>197</v>
      </c>
      <c r="F69" s="85" t="s">
        <v>670</v>
      </c>
      <c r="H69" s="29" t="s">
        <v>197</v>
      </c>
      <c r="I69" s="270" t="s">
        <v>1094</v>
      </c>
      <c r="K69" s="241"/>
      <c r="L69" s="272"/>
      <c r="N69" s="92" t="s">
        <v>272</v>
      </c>
      <c r="O69" s="92" t="s">
        <v>663</v>
      </c>
      <c r="P69" s="93" t="s">
        <v>1057</v>
      </c>
      <c r="R69" s="52" t="s">
        <v>272</v>
      </c>
      <c r="S69" s="53" t="s">
        <v>940</v>
      </c>
      <c r="T69" s="52" t="s">
        <v>911</v>
      </c>
      <c r="W69" s="50" t="str">
        <f t="array" ref="W69">IF($V$2=0,"",IFERROR(INDEX($B$3:$C$520,SMALL(IF($B$3:$B$520=$V$2,ROW($B$3:$B$520)-2),ROW(B67)),2),""))</f>
        <v/>
      </c>
      <c r="Z69" s="71"/>
      <c r="AC69" s="71"/>
      <c r="AF69" s="71"/>
      <c r="AL69" s="87" t="str">
        <f t="array" ref="AL69">IF($AK$2=0,"",IFERROR(INDEX($N$3:$O$499,SMALL(IF($N$3:$N$499=$AK$2,ROW($N$3:$N$499)-2),ROW(N67)),2),""))</f>
        <v/>
      </c>
      <c r="AO69" s="36"/>
      <c r="AP69" s="80"/>
    </row>
    <row r="70" spans="2:42">
      <c r="B70" s="24" t="s">
        <v>272</v>
      </c>
      <c r="C70" s="24" t="s">
        <v>218</v>
      </c>
      <c r="E70" s="85" t="s">
        <v>197</v>
      </c>
      <c r="F70" s="85" t="s">
        <v>671</v>
      </c>
      <c r="H70" s="29" t="s">
        <v>197</v>
      </c>
      <c r="I70" s="270" t="s">
        <v>1095</v>
      </c>
      <c r="K70" s="241"/>
      <c r="L70" s="272"/>
      <c r="N70" s="92" t="s">
        <v>272</v>
      </c>
      <c r="O70" s="92" t="s">
        <v>664</v>
      </c>
      <c r="P70" s="93" t="s">
        <v>1057</v>
      </c>
      <c r="R70" s="52" t="s">
        <v>272</v>
      </c>
      <c r="S70" s="53" t="s">
        <v>948</v>
      </c>
      <c r="T70" s="52" t="s">
        <v>911</v>
      </c>
      <c r="W70" s="50" t="str">
        <f t="array" ref="W70">IF($V$2=0,"",IFERROR(INDEX($B$3:$C$520,SMALL(IF($B$3:$B$520=$V$2,ROW($B$3:$B$520)-2),ROW(B68)),2),""))</f>
        <v/>
      </c>
      <c r="Z70" s="71"/>
      <c r="AC70" s="71"/>
      <c r="AF70" s="71"/>
      <c r="AL70" s="87" t="str">
        <f t="array" ref="AL70">IF($AK$2=0,"",IFERROR(INDEX($N$3:$O$499,SMALL(IF($N$3:$N$499=$AK$2,ROW($N$3:$N$499)-2),ROW(N68)),2),""))</f>
        <v/>
      </c>
      <c r="AO70" s="36"/>
      <c r="AP70" s="80"/>
    </row>
    <row r="71" spans="2:42">
      <c r="B71" s="24" t="s">
        <v>272</v>
      </c>
      <c r="C71" s="24" t="s">
        <v>219</v>
      </c>
      <c r="E71" s="85" t="s">
        <v>197</v>
      </c>
      <c r="F71" s="85" t="s">
        <v>672</v>
      </c>
      <c r="H71" s="29" t="s">
        <v>197</v>
      </c>
      <c r="I71" s="270" t="s">
        <v>451</v>
      </c>
      <c r="K71" s="241"/>
      <c r="L71" s="272"/>
      <c r="N71" s="92" t="s">
        <v>272</v>
      </c>
      <c r="O71" s="92" t="s">
        <v>628</v>
      </c>
      <c r="P71" s="93" t="s">
        <v>1057</v>
      </c>
      <c r="R71" s="52" t="s">
        <v>272</v>
      </c>
      <c r="S71" s="53" t="s">
        <v>941</v>
      </c>
      <c r="T71" s="52" t="s">
        <v>911</v>
      </c>
      <c r="W71" s="50" t="str">
        <f t="array" ref="W71">IF($V$2=0,"",IFERROR(INDEX($B$3:$C$520,SMALL(IF($B$3:$B$520=$V$2,ROW($B$3:$B$520)-2),ROW(B69)),2),""))</f>
        <v/>
      </c>
      <c r="Z71" s="71"/>
      <c r="AC71" s="71"/>
      <c r="AF71" s="71"/>
      <c r="AL71" s="87" t="str">
        <f t="array" ref="AL71">IF($AK$2=0,"",IFERROR(INDEX($N$3:$O$499,SMALL(IF($N$3:$N$499=$AK$2,ROW($N$3:$N$499)-2),ROW(N69)),2),""))</f>
        <v/>
      </c>
      <c r="AO71" s="36"/>
      <c r="AP71" s="80"/>
    </row>
    <row r="72" spans="2:42">
      <c r="B72" s="24" t="s">
        <v>272</v>
      </c>
      <c r="C72" s="24" t="s">
        <v>220</v>
      </c>
      <c r="E72" s="85" t="s">
        <v>197</v>
      </c>
      <c r="F72" s="85" t="s">
        <v>992</v>
      </c>
      <c r="H72" s="29" t="s">
        <v>197</v>
      </c>
      <c r="I72" s="270" t="s">
        <v>1101</v>
      </c>
      <c r="K72" s="241"/>
      <c r="L72" s="272"/>
      <c r="N72" s="92" t="s">
        <v>272</v>
      </c>
      <c r="O72" s="92" t="s">
        <v>630</v>
      </c>
      <c r="P72" s="93" t="s">
        <v>1057</v>
      </c>
      <c r="R72" s="52" t="s">
        <v>272</v>
      </c>
      <c r="S72" s="53" t="s">
        <v>905</v>
      </c>
      <c r="T72" s="52" t="s">
        <v>912</v>
      </c>
      <c r="W72" s="50" t="str">
        <f t="array" ref="W72">IF($V$2=0,"",IFERROR(INDEX($B$3:$C$520,SMALL(IF($B$3:$B$520=$V$2,ROW($B$3:$B$520)-2),ROW(B70)),2),""))</f>
        <v/>
      </c>
      <c r="Z72" s="71"/>
      <c r="AC72" s="71"/>
      <c r="AF72" s="71"/>
      <c r="AL72" s="87" t="str">
        <f t="array" ref="AL72">IF($AK$2=0,"",IFERROR(INDEX($N$3:$O$499,SMALL(IF($N$3:$N$499=$AK$2,ROW($N$3:$N$499)-2),ROW(N70)),2),""))</f>
        <v/>
      </c>
      <c r="AO72" s="36"/>
      <c r="AP72" s="80"/>
    </row>
    <row r="73" spans="2:42">
      <c r="B73" s="24" t="s">
        <v>272</v>
      </c>
      <c r="C73" s="24" t="s">
        <v>221</v>
      </c>
      <c r="E73" s="85" t="s">
        <v>197</v>
      </c>
      <c r="F73" s="85" t="s">
        <v>993</v>
      </c>
      <c r="H73" s="29" t="s">
        <v>131</v>
      </c>
      <c r="I73" s="270" t="s">
        <v>207</v>
      </c>
      <c r="K73" s="241"/>
      <c r="L73" s="272"/>
      <c r="N73" s="92" t="s">
        <v>92</v>
      </c>
      <c r="O73" s="92" t="s">
        <v>466</v>
      </c>
      <c r="P73" s="93" t="s">
        <v>1057</v>
      </c>
      <c r="R73" s="52" t="s">
        <v>272</v>
      </c>
      <c r="S73" s="53" t="s">
        <v>200</v>
      </c>
      <c r="T73" s="52" t="s">
        <v>912</v>
      </c>
      <c r="W73" s="50" t="str">
        <f t="array" ref="W73">IF($V$2=0,"",IFERROR(INDEX($B$3:$C$520,SMALL(IF($B$3:$B$520=$V$2,ROW($B$3:$B$520)-2),ROW(B71)),2),""))</f>
        <v/>
      </c>
      <c r="Z73" s="71"/>
      <c r="AC73" s="71"/>
      <c r="AF73" s="71"/>
      <c r="AL73" s="87" t="str">
        <f t="array" ref="AL73">IF($AK$2=0,"",IFERROR(INDEX($N$3:$O$499,SMALL(IF($N$3:$N$499=$AK$2,ROW($N$3:$N$499)-2),ROW(N71)),2),""))</f>
        <v/>
      </c>
      <c r="AO73" s="36"/>
      <c r="AP73" s="80"/>
    </row>
    <row r="74" spans="2:42">
      <c r="B74" s="24" t="s">
        <v>272</v>
      </c>
      <c r="C74" s="24" t="s">
        <v>222</v>
      </c>
      <c r="E74" s="85" t="s">
        <v>197</v>
      </c>
      <c r="F74" s="85" t="s">
        <v>1004</v>
      </c>
      <c r="H74" s="29" t="s">
        <v>131</v>
      </c>
      <c r="I74" s="270" t="s">
        <v>1096</v>
      </c>
      <c r="K74" s="241"/>
      <c r="L74" s="272"/>
      <c r="N74" s="92" t="s">
        <v>272</v>
      </c>
      <c r="O74" s="92" t="s">
        <v>631</v>
      </c>
      <c r="P74" s="93" t="s">
        <v>1057</v>
      </c>
      <c r="R74" s="52" t="s">
        <v>272</v>
      </c>
      <c r="S74" s="53" t="s">
        <v>906</v>
      </c>
      <c r="T74" s="52" t="s">
        <v>912</v>
      </c>
      <c r="W74" s="50" t="str">
        <f t="array" ref="W74">IF($V$2=0,"",IFERROR(INDEX($B$3:$C$520,SMALL(IF($B$3:$B$520=$V$2,ROW($B$3:$B$520)-2),ROW(B72)),2),""))</f>
        <v/>
      </c>
      <c r="Z74" s="71"/>
      <c r="AC74" s="71"/>
      <c r="AF74" s="71"/>
      <c r="AL74" s="87" t="str">
        <f t="array" ref="AL74">IF($AK$2=0,"",IFERROR(INDEX($N$3:$O$499,SMALL(IF($N$3:$N$499=$AK$2,ROW($N$3:$N$499)-2),ROW(N72)),2),""))</f>
        <v/>
      </c>
      <c r="AO74" s="36"/>
      <c r="AP74" s="80"/>
    </row>
    <row r="75" spans="2:42">
      <c r="B75" s="24" t="s">
        <v>272</v>
      </c>
      <c r="C75" s="24" t="s">
        <v>223</v>
      </c>
      <c r="E75" s="85" t="s">
        <v>197</v>
      </c>
      <c r="F75" s="85" t="s">
        <v>1005</v>
      </c>
      <c r="H75" s="29" t="s">
        <v>131</v>
      </c>
      <c r="I75" s="270" t="s">
        <v>457</v>
      </c>
      <c r="K75" s="241"/>
      <c r="L75" s="272"/>
      <c r="N75" s="92" t="s">
        <v>272</v>
      </c>
      <c r="O75" s="92" t="s">
        <v>611</v>
      </c>
      <c r="P75" s="93" t="s">
        <v>1057</v>
      </c>
      <c r="R75" s="52" t="s">
        <v>272</v>
      </c>
      <c r="S75" s="53" t="s">
        <v>943</v>
      </c>
      <c r="T75" s="52" t="s">
        <v>912</v>
      </c>
      <c r="W75" s="50" t="str">
        <f t="array" ref="W75">IF($V$2=0,"",IFERROR(INDEX($B$3:$C$520,SMALL(IF($B$3:$B$520=$V$2,ROW($B$3:$B$520)-2),ROW(B73)),2),""))</f>
        <v/>
      </c>
      <c r="Z75" s="71"/>
      <c r="AC75" s="71"/>
      <c r="AF75" s="71"/>
      <c r="AL75" s="87" t="str">
        <f t="array" ref="AL75">IF($AK$2=0,"",IFERROR(INDEX($N$3:$O$499,SMALL(IF($N$3:$N$499=$AK$2,ROW($N$3:$N$499)-2),ROW(N73)),2),""))</f>
        <v/>
      </c>
      <c r="AO75" s="36"/>
      <c r="AP75" s="80"/>
    </row>
    <row r="76" spans="2:42">
      <c r="B76" s="24" t="s">
        <v>272</v>
      </c>
      <c r="C76" s="24" t="s">
        <v>224</v>
      </c>
      <c r="E76" s="85" t="s">
        <v>197</v>
      </c>
      <c r="F76" s="85" t="s">
        <v>1006</v>
      </c>
      <c r="H76" s="29" t="s">
        <v>131</v>
      </c>
      <c r="I76" s="270" t="s">
        <v>458</v>
      </c>
      <c r="K76" s="241"/>
      <c r="L76" s="272"/>
      <c r="N76" s="92" t="s">
        <v>60</v>
      </c>
      <c r="O76" s="92" t="s">
        <v>553</v>
      </c>
      <c r="P76" s="93" t="s">
        <v>1057</v>
      </c>
      <c r="R76" s="52" t="s">
        <v>272</v>
      </c>
      <c r="S76" s="53" t="s">
        <v>949</v>
      </c>
      <c r="T76" s="52" t="s">
        <v>429</v>
      </c>
      <c r="W76" s="50" t="str">
        <f t="array" ref="W76">IF($V$2=0,"",IFERROR(INDEX($B$3:$C$520,SMALL(IF($B$3:$B$520=$V$2,ROW($B$3:$B$520)-2),ROW(B74)),2),""))</f>
        <v/>
      </c>
      <c r="Z76" s="71"/>
      <c r="AC76" s="71"/>
      <c r="AF76" s="71"/>
      <c r="AL76" s="87" t="str">
        <f t="array" ref="AL76">IF($AK$2=0,"",IFERROR(INDEX($N$3:$O$499,SMALL(IF($N$3:$N$499=$AK$2,ROW($N$3:$N$499)-2),ROW(N74)),2),""))</f>
        <v/>
      </c>
      <c r="AO76" s="36"/>
      <c r="AP76" s="80"/>
    </row>
    <row r="77" spans="2:42">
      <c r="B77" s="24" t="s">
        <v>272</v>
      </c>
      <c r="C77" s="24" t="s">
        <v>225</v>
      </c>
      <c r="E77" s="85" t="s">
        <v>197</v>
      </c>
      <c r="F77" s="85" t="s">
        <v>1007</v>
      </c>
      <c r="H77" s="29" t="s">
        <v>131</v>
      </c>
      <c r="I77" s="270" t="s">
        <v>459</v>
      </c>
      <c r="K77" s="241"/>
      <c r="L77" s="272"/>
      <c r="N77" s="92" t="s">
        <v>272</v>
      </c>
      <c r="O77" s="92" t="s">
        <v>665</v>
      </c>
      <c r="P77" s="93" t="s">
        <v>1057</v>
      </c>
      <c r="R77" s="52" t="s">
        <v>272</v>
      </c>
      <c r="S77" s="53" t="s">
        <v>901</v>
      </c>
      <c r="T77" s="52" t="s">
        <v>429</v>
      </c>
      <c r="W77" s="50" t="str">
        <f t="array" ref="W77">IF($V$2=0,"",IFERROR(INDEX($B$3:$C$520,SMALL(IF($B$3:$B$520=$V$2,ROW($B$3:$B$520)-2),ROW(B75)),2),""))</f>
        <v/>
      </c>
      <c r="Z77" s="71"/>
      <c r="AC77" s="71"/>
      <c r="AF77" s="71"/>
      <c r="AL77" s="87" t="str">
        <f t="array" ref="AL77">IF($AK$2=0,"",IFERROR(INDEX($N$3:$O$499,SMALL(IF($N$3:$N$499=$AK$2,ROW($N$3:$N$499)-2),ROW(N75)),2),""))</f>
        <v/>
      </c>
      <c r="AO77" s="36"/>
      <c r="AP77" s="80"/>
    </row>
    <row r="78" spans="2:42">
      <c r="B78" s="24" t="s">
        <v>272</v>
      </c>
      <c r="C78" s="24" t="s">
        <v>226</v>
      </c>
      <c r="E78" s="85" t="s">
        <v>197</v>
      </c>
      <c r="F78" s="85" t="s">
        <v>994</v>
      </c>
      <c r="H78" s="29" t="s">
        <v>131</v>
      </c>
      <c r="I78" s="270" t="s">
        <v>1113</v>
      </c>
      <c r="K78" s="241"/>
      <c r="L78" s="272"/>
      <c r="N78" s="92" t="s">
        <v>272</v>
      </c>
      <c r="O78" s="92" t="s">
        <v>617</v>
      </c>
      <c r="P78" s="93" t="s">
        <v>1057</v>
      </c>
      <c r="R78" s="52" t="s">
        <v>272</v>
      </c>
      <c r="S78" s="53" t="s">
        <v>907</v>
      </c>
      <c r="T78" s="52" t="s">
        <v>429</v>
      </c>
      <c r="W78" s="50" t="str">
        <f t="array" ref="W78">IF($V$2=0,"",IFERROR(INDEX($B$3:$C$520,SMALL(IF($B$3:$B$520=$V$2,ROW($B$3:$B$520)-2),ROW(B76)),2),""))</f>
        <v/>
      </c>
      <c r="Z78" s="71"/>
      <c r="AC78" s="71"/>
      <c r="AF78" s="71"/>
      <c r="AL78" s="87" t="str">
        <f t="array" ref="AL78">IF($AK$2=0,"",IFERROR(INDEX($N$3:$O$499,SMALL(IF($N$3:$N$499=$AK$2,ROW($N$3:$N$499)-2),ROW(N76)),2),""))</f>
        <v/>
      </c>
      <c r="AO78" s="36"/>
      <c r="AP78" s="80"/>
    </row>
    <row r="79" spans="2:42">
      <c r="B79" s="24" t="s">
        <v>272</v>
      </c>
      <c r="C79" s="24" t="s">
        <v>227</v>
      </c>
      <c r="E79" s="85" t="s">
        <v>197</v>
      </c>
      <c r="F79" s="85" t="s">
        <v>1008</v>
      </c>
      <c r="H79" s="29" t="s">
        <v>131</v>
      </c>
      <c r="I79" s="270" t="s">
        <v>1116</v>
      </c>
      <c r="K79" s="241"/>
      <c r="L79" s="272"/>
      <c r="N79" s="92" t="s">
        <v>272</v>
      </c>
      <c r="O79" s="92" t="s">
        <v>613</v>
      </c>
      <c r="P79" s="93" t="s">
        <v>1057</v>
      </c>
      <c r="R79" s="52" t="s">
        <v>272</v>
      </c>
      <c r="S79" s="53" t="s">
        <v>945</v>
      </c>
      <c r="T79" s="52" t="s">
        <v>429</v>
      </c>
      <c r="W79" s="50" t="str">
        <f t="array" ref="W79">IF($V$2=0,"",IFERROR(INDEX($B$3:$C$520,SMALL(IF($B$3:$B$520=$V$2,ROW($B$3:$B$520)-2),ROW(B77)),2),""))</f>
        <v/>
      </c>
      <c r="Z79" s="71"/>
      <c r="AC79" s="71"/>
      <c r="AF79" s="71"/>
      <c r="AL79" s="87" t="str">
        <f t="array" ref="AL79">IF($AK$2=0,"",IFERROR(INDEX($N$3:$O$499,SMALL(IF($N$3:$N$499=$AK$2,ROW($N$3:$N$499)-2),ROW(N77)),2),""))</f>
        <v/>
      </c>
      <c r="AO79" s="36"/>
      <c r="AP79" s="80"/>
    </row>
    <row r="80" spans="2:42">
      <c r="B80" s="24" t="s">
        <v>272</v>
      </c>
      <c r="C80" s="24" t="s">
        <v>228</v>
      </c>
      <c r="E80" s="94" t="s">
        <v>197</v>
      </c>
      <c r="F80" s="94" t="s">
        <v>1048</v>
      </c>
      <c r="H80" s="29" t="s">
        <v>131</v>
      </c>
      <c r="I80" s="270" t="s">
        <v>1097</v>
      </c>
      <c r="K80" s="241"/>
      <c r="L80" s="272"/>
      <c r="N80" s="92" t="s">
        <v>272</v>
      </c>
      <c r="O80" s="92" t="s">
        <v>618</v>
      </c>
      <c r="P80" s="93" t="s">
        <v>1057</v>
      </c>
      <c r="R80" s="52" t="s">
        <v>272</v>
      </c>
      <c r="S80" s="53" t="s">
        <v>436</v>
      </c>
      <c r="T80" s="52" t="s">
        <v>429</v>
      </c>
      <c r="W80" s="50" t="str">
        <f t="array" ref="W80">IF($V$2=0,"",IFERROR(INDEX($B$3:$C$520,SMALL(IF($B$3:$B$520=$V$2,ROW($B$3:$B$520)-2),ROW(B78)),2),""))</f>
        <v/>
      </c>
      <c r="Z80" s="71"/>
      <c r="AC80" s="71"/>
      <c r="AF80" s="71"/>
      <c r="AL80" s="87" t="str">
        <f t="array" ref="AL80">IF($AK$2=0,"",IFERROR(INDEX($N$3:$O$499,SMALL(IF($N$3:$N$499=$AK$2,ROW($N$3:$N$499)-2),ROW(N78)),2),""))</f>
        <v/>
      </c>
      <c r="AO80" s="36"/>
      <c r="AP80" s="80"/>
    </row>
    <row r="81" spans="2:42">
      <c r="B81" s="24" t="s">
        <v>272</v>
      </c>
      <c r="C81" s="24" t="s">
        <v>229</v>
      </c>
      <c r="E81" s="85" t="s">
        <v>131</v>
      </c>
      <c r="F81" s="85" t="s">
        <v>691</v>
      </c>
      <c r="H81" s="29" t="s">
        <v>131</v>
      </c>
      <c r="I81" s="270" t="s">
        <v>1098</v>
      </c>
      <c r="K81" s="241"/>
      <c r="L81" s="272"/>
      <c r="N81" s="92" t="s">
        <v>272</v>
      </c>
      <c r="O81" s="92" t="s">
        <v>632</v>
      </c>
      <c r="P81" s="93" t="s">
        <v>1057</v>
      </c>
      <c r="R81" s="52" t="s">
        <v>272</v>
      </c>
      <c r="S81" s="53" t="s">
        <v>946</v>
      </c>
      <c r="T81" s="52" t="s">
        <v>429</v>
      </c>
      <c r="W81" s="50" t="str">
        <f t="array" ref="W81">IF($V$2=0,"",IFERROR(INDEX($B$3:$C$520,SMALL(IF($B$3:$B$520=$V$2,ROW($B$3:$B$520)-2),ROW(B79)),2),""))</f>
        <v/>
      </c>
      <c r="Z81" s="71"/>
      <c r="AC81" s="71"/>
      <c r="AF81" s="71"/>
      <c r="AL81" s="87" t="str">
        <f t="array" ref="AL81">IF($AK$2=0,"",IFERROR(INDEX($N$3:$O$499,SMALL(IF($N$3:$N$499=$AK$2,ROW($N$3:$N$499)-2),ROW(N79)),2),""))</f>
        <v/>
      </c>
      <c r="AO81" s="36"/>
      <c r="AP81" s="80"/>
    </row>
    <row r="82" spans="2:42">
      <c r="B82" s="24" t="s">
        <v>272</v>
      </c>
      <c r="C82" s="24" t="s">
        <v>230</v>
      </c>
      <c r="E82" s="94" t="s">
        <v>131</v>
      </c>
      <c r="F82" s="94" t="s">
        <v>1048</v>
      </c>
      <c r="H82" s="29" t="s">
        <v>131</v>
      </c>
      <c r="I82" s="270" t="s">
        <v>1099</v>
      </c>
      <c r="K82" s="241"/>
      <c r="L82" s="272"/>
      <c r="N82" s="92" t="s">
        <v>60</v>
      </c>
      <c r="O82" s="92" t="s">
        <v>551</v>
      </c>
      <c r="P82" s="93" t="s">
        <v>1057</v>
      </c>
      <c r="R82" s="52" t="s">
        <v>273</v>
      </c>
      <c r="S82" s="53" t="s">
        <v>893</v>
      </c>
      <c r="T82" s="52" t="s">
        <v>908</v>
      </c>
      <c r="W82" s="50" t="str">
        <f t="array" ref="W82">IF($V$2=0,"",IFERROR(INDEX($B$3:$C$520,SMALL(IF($B$3:$B$520=$V$2,ROW($B$3:$B$520)-2),ROW(B80)),2),""))</f>
        <v/>
      </c>
      <c r="Z82" s="71"/>
      <c r="AC82" s="71"/>
      <c r="AF82" s="71"/>
      <c r="AL82" s="87" t="str">
        <f t="array" ref="AL82">IF($AK$2=0,"",IFERROR(INDEX($N$3:$O$499,SMALL(IF($N$3:$N$499=$AK$2,ROW($N$3:$N$499)-2),ROW(N80)),2),""))</f>
        <v/>
      </c>
      <c r="AO82" s="36"/>
      <c r="AP82" s="80"/>
    </row>
    <row r="83" spans="2:42">
      <c r="B83" s="24" t="s">
        <v>272</v>
      </c>
      <c r="C83" s="24" t="s">
        <v>231</v>
      </c>
      <c r="E83" s="85" t="s">
        <v>272</v>
      </c>
      <c r="F83" s="85" t="s">
        <v>678</v>
      </c>
      <c r="H83" s="29" t="s">
        <v>132</v>
      </c>
      <c r="I83" s="270" t="s">
        <v>207</v>
      </c>
      <c r="K83" s="241"/>
      <c r="L83" s="272"/>
      <c r="N83" s="92" t="s">
        <v>272</v>
      </c>
      <c r="O83" s="92" t="s">
        <v>633</v>
      </c>
      <c r="P83" s="93" t="s">
        <v>1057</v>
      </c>
      <c r="R83" s="52" t="s">
        <v>273</v>
      </c>
      <c r="S83" s="53" t="s">
        <v>915</v>
      </c>
      <c r="T83" s="52" t="s">
        <v>908</v>
      </c>
      <c r="W83" s="50" t="str">
        <f t="array" ref="W83">IF($V$2=0,"",IFERROR(INDEX($B$3:$C$520,SMALL(IF($B$3:$B$520=$V$2,ROW($B$3:$B$520)-2),ROW(B81)),2),""))</f>
        <v/>
      </c>
      <c r="Z83" s="71"/>
      <c r="AC83" s="71"/>
      <c r="AF83" s="71"/>
      <c r="AL83" s="87" t="str">
        <f t="array" ref="AL83">IF($AK$2=0,"",IFERROR(INDEX($N$3:$O$499,SMALL(IF($N$3:$N$499=$AK$2,ROW($N$3:$N$499)-2),ROW(N81)),2),""))</f>
        <v/>
      </c>
      <c r="AO83" s="36"/>
      <c r="AP83" s="80"/>
    </row>
    <row r="84" spans="2:42">
      <c r="B84" s="24" t="s">
        <v>272</v>
      </c>
      <c r="C84" s="24" t="s">
        <v>232</v>
      </c>
      <c r="E84" s="85" t="s">
        <v>272</v>
      </c>
      <c r="F84" s="85" t="s">
        <v>679</v>
      </c>
      <c r="H84" s="29" t="s">
        <v>132</v>
      </c>
      <c r="I84" s="270" t="s">
        <v>460</v>
      </c>
      <c r="K84" s="242"/>
      <c r="L84" s="272"/>
      <c r="N84" s="92" t="s">
        <v>272</v>
      </c>
      <c r="O84" s="92" t="s">
        <v>472</v>
      </c>
      <c r="P84" s="93" t="s">
        <v>6</v>
      </c>
      <c r="R84" s="52" t="s">
        <v>273</v>
      </c>
      <c r="S84" s="53" t="s">
        <v>950</v>
      </c>
      <c r="T84" s="52" t="s">
        <v>908</v>
      </c>
      <c r="W84" s="50" t="str">
        <f t="array" ref="W84">IF($V$2=0,"",IFERROR(INDEX($B$3:$C$520,SMALL(IF($B$3:$B$520=$V$2,ROW($B$3:$B$520)-2),ROW(B82)),2),""))</f>
        <v/>
      </c>
      <c r="Z84" s="71"/>
      <c r="AC84" s="71"/>
      <c r="AF84" s="71"/>
      <c r="AL84" s="87" t="str">
        <f t="array" ref="AL84">IF($AK$2=0,"",IFERROR(INDEX($N$3:$O$499,SMALL(IF($N$3:$N$499=$AK$2,ROW($N$3:$N$499)-2),ROW(N82)),2),""))</f>
        <v/>
      </c>
      <c r="AO84" s="36"/>
      <c r="AP84" s="80"/>
    </row>
    <row r="85" spans="2:42">
      <c r="B85" s="24" t="s">
        <v>272</v>
      </c>
      <c r="C85" s="24" t="s">
        <v>233</v>
      </c>
      <c r="E85" s="85" t="s">
        <v>272</v>
      </c>
      <c r="F85" s="85" t="s">
        <v>680</v>
      </c>
      <c r="H85" s="29" t="s">
        <v>132</v>
      </c>
      <c r="I85" s="270" t="s">
        <v>1111</v>
      </c>
      <c r="K85" s="241"/>
      <c r="L85" s="272"/>
      <c r="N85" s="92" t="s">
        <v>92</v>
      </c>
      <c r="O85" s="92" t="s">
        <v>472</v>
      </c>
      <c r="P85" s="93" t="s">
        <v>6</v>
      </c>
      <c r="R85" s="52" t="s">
        <v>273</v>
      </c>
      <c r="S85" s="53" t="s">
        <v>918</v>
      </c>
      <c r="T85" s="52" t="s">
        <v>908</v>
      </c>
      <c r="W85" s="50" t="str">
        <f t="array" ref="W85">IF($V$2=0,"",IFERROR(INDEX($B$3:$C$520,SMALL(IF($B$3:$B$520=$V$2,ROW($B$3:$B$520)-2),ROW(B83)),2),""))</f>
        <v/>
      </c>
      <c r="Z85" s="71"/>
      <c r="AC85" s="71"/>
      <c r="AF85" s="71"/>
      <c r="AL85" s="87" t="str">
        <f t="array" ref="AL85">IF($AK$2=0,"",IFERROR(INDEX($N$3:$O$499,SMALL(IF($N$3:$N$499=$AK$2,ROW($N$3:$N$499)-2),ROW(N83)),2),""))</f>
        <v/>
      </c>
      <c r="AO85" s="36"/>
      <c r="AP85" s="80"/>
    </row>
    <row r="86" spans="2:42">
      <c r="B86" s="24" t="s">
        <v>272</v>
      </c>
      <c r="C86" s="24" t="s">
        <v>234</v>
      </c>
      <c r="E86" s="85" t="s">
        <v>272</v>
      </c>
      <c r="F86" s="85" t="s">
        <v>681</v>
      </c>
      <c r="H86" s="29" t="s">
        <v>132</v>
      </c>
      <c r="I86" s="270" t="s">
        <v>464</v>
      </c>
      <c r="K86" s="241"/>
      <c r="L86" s="272"/>
      <c r="N86" s="92" t="s">
        <v>60</v>
      </c>
      <c r="O86" s="92" t="s">
        <v>472</v>
      </c>
      <c r="P86" s="93" t="s">
        <v>6</v>
      </c>
      <c r="R86" s="52" t="s">
        <v>273</v>
      </c>
      <c r="S86" s="53" t="s">
        <v>919</v>
      </c>
      <c r="T86" s="52" t="s">
        <v>908</v>
      </c>
      <c r="W86" s="50" t="str">
        <f t="array" ref="W86">IF($V$2=0,"",IFERROR(INDEX($B$3:$C$520,SMALL(IF($B$3:$B$520=$V$2,ROW($B$3:$B$520)-2),ROW(B84)),2),""))</f>
        <v/>
      </c>
      <c r="Z86" s="71"/>
      <c r="AC86" s="71"/>
      <c r="AF86" s="71"/>
      <c r="AL86" s="87" t="str">
        <f t="array" ref="AL86">IF($AK$2=0,"",IFERROR(INDEX($N$3:$O$499,SMALL(IF($N$3:$N$499=$AK$2,ROW($N$3:$N$499)-2),ROW(N84)),2),""))</f>
        <v/>
      </c>
      <c r="AO86" s="36"/>
      <c r="AP86" s="80"/>
    </row>
    <row r="87" spans="2:42">
      <c r="B87" s="24" t="s">
        <v>272</v>
      </c>
      <c r="C87" s="24" t="s">
        <v>235</v>
      </c>
      <c r="E87" s="85" t="s">
        <v>272</v>
      </c>
      <c r="F87" s="85" t="s">
        <v>682</v>
      </c>
      <c r="H87" s="29" t="s">
        <v>132</v>
      </c>
      <c r="I87" s="270" t="s">
        <v>1112</v>
      </c>
      <c r="K87" s="241"/>
      <c r="L87" s="272"/>
      <c r="N87" s="92" t="s">
        <v>163</v>
      </c>
      <c r="O87" s="92" t="s">
        <v>472</v>
      </c>
      <c r="P87" s="93" t="s">
        <v>6</v>
      </c>
      <c r="R87" s="52" t="s">
        <v>273</v>
      </c>
      <c r="S87" s="53" t="s">
        <v>920</v>
      </c>
      <c r="T87" s="52" t="s">
        <v>908</v>
      </c>
      <c r="W87" s="50" t="str">
        <f t="array" ref="W87">IF($V$2=0,"",IFERROR(INDEX($B$3:$C$520,SMALL(IF($B$3:$B$520=$V$2,ROW($B$3:$B$520)-2),ROW(B85)),2),""))</f>
        <v/>
      </c>
      <c r="Z87" s="71"/>
      <c r="AC87" s="71"/>
      <c r="AF87" s="71"/>
      <c r="AL87" s="87" t="str">
        <f t="array" ref="AL87">IF($AK$2=0,"",IFERROR(INDEX($N$3:$O$499,SMALL(IF($N$3:$N$499=$AK$2,ROW($N$3:$N$499)-2),ROW(N85)),2),""))</f>
        <v/>
      </c>
      <c r="AO87" s="36"/>
      <c r="AP87" s="80"/>
    </row>
    <row r="88" spans="2:42">
      <c r="B88" s="24" t="s">
        <v>272</v>
      </c>
      <c r="C88" s="24" t="s">
        <v>236</v>
      </c>
      <c r="E88" s="85" t="s">
        <v>272</v>
      </c>
      <c r="F88" s="85" t="s">
        <v>683</v>
      </c>
      <c r="H88" s="29" t="s">
        <v>132</v>
      </c>
      <c r="I88" s="270" t="s">
        <v>461</v>
      </c>
      <c r="K88" s="241"/>
      <c r="L88" s="272"/>
      <c r="N88" s="92" t="s">
        <v>131</v>
      </c>
      <c r="O88" s="92" t="s">
        <v>530</v>
      </c>
      <c r="P88" s="93" t="s">
        <v>6</v>
      </c>
      <c r="R88" s="52" t="s">
        <v>273</v>
      </c>
      <c r="S88" s="53" t="s">
        <v>921</v>
      </c>
      <c r="T88" s="52" t="s">
        <v>908</v>
      </c>
      <c r="W88" s="50" t="str">
        <f t="array" ref="W88">IF($V$2=0,"",IFERROR(INDEX($B$3:$C$520,SMALL(IF($B$3:$B$520=$V$2,ROW($B$3:$B$520)-2),ROW(B86)),2),""))</f>
        <v/>
      </c>
      <c r="Z88" s="71"/>
      <c r="AC88" s="71"/>
      <c r="AF88" s="71"/>
      <c r="AL88" s="87" t="str">
        <f t="array" ref="AL88">IF($AK$2=0,"",IFERROR(INDEX($N$3:$O$499,SMALL(IF($N$3:$N$499=$AK$2,ROW($N$3:$N$499)-2),ROW(N86)),2),""))</f>
        <v/>
      </c>
      <c r="AO88" s="36"/>
      <c r="AP88" s="80"/>
    </row>
    <row r="89" spans="2:42">
      <c r="B89" s="24" t="s">
        <v>272</v>
      </c>
      <c r="C89" s="24" t="s">
        <v>237</v>
      </c>
      <c r="E89" s="85" t="s">
        <v>272</v>
      </c>
      <c r="F89" s="85" t="s">
        <v>684</v>
      </c>
      <c r="H89" s="29" t="s">
        <v>132</v>
      </c>
      <c r="I89" s="270" t="s">
        <v>1096</v>
      </c>
      <c r="K89" s="241"/>
      <c r="L89" s="272"/>
      <c r="N89" s="92" t="s">
        <v>163</v>
      </c>
      <c r="O89" s="92" t="s">
        <v>503</v>
      </c>
      <c r="P89" s="93" t="s">
        <v>6</v>
      </c>
      <c r="R89" s="52" t="s">
        <v>273</v>
      </c>
      <c r="S89" s="53" t="s">
        <v>893</v>
      </c>
      <c r="T89" s="52" t="s">
        <v>909</v>
      </c>
      <c r="W89" s="50" t="str">
        <f t="array" ref="W89">IF($V$2=0,"",IFERROR(INDEX($B$3:$C$520,SMALL(IF($B$3:$B$520=$V$2,ROW($B$3:$B$520)-2),ROW(B87)),2),""))</f>
        <v/>
      </c>
      <c r="Z89" s="71"/>
      <c r="AC89" s="71"/>
      <c r="AF89" s="71"/>
      <c r="AL89" s="87" t="str">
        <f t="array" ref="AL89">IF($AK$2=0,"",IFERROR(INDEX($N$3:$O$499,SMALL(IF($N$3:$N$499=$AK$2,ROW($N$3:$N$499)-2),ROW(N87)),2),""))</f>
        <v/>
      </c>
      <c r="AO89" s="36"/>
      <c r="AP89" s="80"/>
    </row>
    <row r="90" spans="2:42">
      <c r="B90" s="24" t="s">
        <v>272</v>
      </c>
      <c r="C90" s="24" t="s">
        <v>238</v>
      </c>
      <c r="E90" s="85" t="s">
        <v>272</v>
      </c>
      <c r="F90" s="85" t="s">
        <v>685</v>
      </c>
      <c r="H90" s="29" t="s">
        <v>132</v>
      </c>
      <c r="I90" s="270" t="s">
        <v>462</v>
      </c>
      <c r="K90" s="241"/>
      <c r="L90" s="272"/>
      <c r="N90" s="92" t="s">
        <v>131</v>
      </c>
      <c r="O90" s="92" t="s">
        <v>531</v>
      </c>
      <c r="P90" s="93" t="s">
        <v>6</v>
      </c>
      <c r="R90" s="52" t="s">
        <v>273</v>
      </c>
      <c r="S90" s="53" t="s">
        <v>922</v>
      </c>
      <c r="T90" s="52" t="s">
        <v>909</v>
      </c>
      <c r="W90" s="50" t="str">
        <f t="array" ref="W90">IF($V$2=0,"",IFERROR(INDEX($B$3:$C$520,SMALL(IF($B$3:$B$520=$V$2,ROW($B$3:$B$520)-2),ROW(B88)),2),""))</f>
        <v/>
      </c>
      <c r="Z90" s="71"/>
      <c r="AC90" s="71"/>
      <c r="AF90" s="71"/>
      <c r="AL90" s="87" t="str">
        <f t="array" ref="AL90">IF($AK$2=0,"",IFERROR(INDEX($N$3:$O$499,SMALL(IF($N$3:$N$499=$AK$2,ROW($N$3:$N$499)-2),ROW(N88)),2),""))</f>
        <v/>
      </c>
      <c r="AO90" s="36"/>
      <c r="AP90" s="80"/>
    </row>
    <row r="91" spans="2:42">
      <c r="B91" s="24" t="s">
        <v>272</v>
      </c>
      <c r="C91" s="24" t="s">
        <v>245</v>
      </c>
      <c r="E91" s="85" t="s">
        <v>272</v>
      </c>
      <c r="F91" s="85" t="s">
        <v>686</v>
      </c>
      <c r="H91" s="29" t="s">
        <v>132</v>
      </c>
      <c r="I91" s="270" t="s">
        <v>1100</v>
      </c>
      <c r="K91" s="241"/>
      <c r="L91" s="272"/>
      <c r="N91" s="92" t="s">
        <v>131</v>
      </c>
      <c r="O91" s="92" t="s">
        <v>532</v>
      </c>
      <c r="P91" s="93" t="s">
        <v>6</v>
      </c>
      <c r="R91" s="52" t="s">
        <v>273</v>
      </c>
      <c r="S91" s="53" t="s">
        <v>947</v>
      </c>
      <c r="T91" s="52" t="s">
        <v>909</v>
      </c>
      <c r="W91" s="50" t="str">
        <f t="array" ref="W91">IF($V$2=0,"",IFERROR(INDEX($B$3:$C$520,SMALL(IF($B$3:$B$520=$V$2,ROW($B$3:$B$520)-2),ROW(B89)),2),""))</f>
        <v/>
      </c>
      <c r="Z91" s="71"/>
      <c r="AC91" s="71"/>
      <c r="AF91" s="71"/>
      <c r="AL91" s="87" t="str">
        <f t="array" ref="AL91">IF($AK$2=0,"",IFERROR(INDEX($N$3:$O$499,SMALL(IF($N$3:$N$499=$AK$2,ROW($N$3:$N$499)-2),ROW(N89)),2),""))</f>
        <v/>
      </c>
      <c r="AO91" s="36"/>
      <c r="AP91" s="80"/>
    </row>
    <row r="92" spans="2:42">
      <c r="B92" s="24" t="s">
        <v>272</v>
      </c>
      <c r="C92" s="24" t="s">
        <v>246</v>
      </c>
      <c r="E92" s="85" t="s">
        <v>272</v>
      </c>
      <c r="F92" s="85" t="s">
        <v>687</v>
      </c>
      <c r="H92" s="29" t="s">
        <v>132</v>
      </c>
      <c r="I92" s="270" t="s">
        <v>1080</v>
      </c>
      <c r="K92" s="241"/>
      <c r="L92" s="272"/>
      <c r="N92" s="92" t="s">
        <v>132</v>
      </c>
      <c r="O92" s="92" t="s">
        <v>533</v>
      </c>
      <c r="P92" s="93" t="s">
        <v>6</v>
      </c>
      <c r="R92" s="52" t="s">
        <v>273</v>
      </c>
      <c r="S92" s="53" t="s">
        <v>951</v>
      </c>
      <c r="T92" s="52" t="s">
        <v>966</v>
      </c>
      <c r="W92" s="50" t="str">
        <f t="array" ref="W92">IF($V$2=0,"",IFERROR(INDEX($B$3:$C$520,SMALL(IF($B$3:$B$520=$V$2,ROW($B$3:$B$520)-2),ROW(B90)),2),""))</f>
        <v/>
      </c>
      <c r="Z92" s="71"/>
      <c r="AC92" s="71"/>
      <c r="AF92" s="71"/>
      <c r="AL92" s="87" t="str">
        <f t="array" ref="AL92">IF($AK$2=0,"",IFERROR(INDEX($N$3:$O$499,SMALL(IF($N$3:$N$499=$AK$2,ROW($N$3:$N$499)-2),ROW(N90)),2),""))</f>
        <v/>
      </c>
      <c r="AO92" s="36"/>
      <c r="AP92" s="80"/>
    </row>
    <row r="93" spans="2:42">
      <c r="B93" s="24" t="s">
        <v>272</v>
      </c>
      <c r="C93" s="24" t="s">
        <v>247</v>
      </c>
      <c r="E93" s="85" t="s">
        <v>272</v>
      </c>
      <c r="F93" s="85" t="s">
        <v>688</v>
      </c>
      <c r="H93" s="31"/>
      <c r="I93" s="271"/>
      <c r="K93" s="31"/>
      <c r="L93" s="271"/>
      <c r="N93" s="92" t="s">
        <v>273</v>
      </c>
      <c r="O93" s="92" t="s">
        <v>583</v>
      </c>
      <c r="P93" s="93" t="s">
        <v>6</v>
      </c>
      <c r="R93" s="52" t="s">
        <v>273</v>
      </c>
      <c r="S93" s="53" t="s">
        <v>952</v>
      </c>
      <c r="T93" s="52" t="s">
        <v>966</v>
      </c>
      <c r="W93" s="50" t="str">
        <f t="array" ref="W93">IF($V$2=0,"",IFERROR(INDEX($B$3:$C$520,SMALL(IF($B$3:$B$520=$V$2,ROW($B$3:$B$520)-2),ROW(B91)),2),""))</f>
        <v/>
      </c>
      <c r="Z93" s="71"/>
      <c r="AC93" s="71"/>
      <c r="AF93" s="71"/>
      <c r="AL93" s="87" t="str">
        <f t="array" ref="AL93">IF($AK$2=0,"",IFERROR(INDEX($N$3:$O$499,SMALL(IF($N$3:$N$499=$AK$2,ROW($N$3:$N$499)-2),ROW(N91)),2),""))</f>
        <v/>
      </c>
      <c r="AO93" s="36"/>
      <c r="AP93" s="80"/>
    </row>
    <row r="94" spans="2:42">
      <c r="B94" s="24" t="s">
        <v>272</v>
      </c>
      <c r="C94" s="24" t="s">
        <v>248</v>
      </c>
      <c r="E94" s="91" t="s">
        <v>272</v>
      </c>
      <c r="F94" s="91" t="s">
        <v>1028</v>
      </c>
      <c r="H94" s="31"/>
      <c r="I94" s="271"/>
      <c r="K94" s="31"/>
      <c r="L94" s="271"/>
      <c r="N94" s="92" t="s">
        <v>273</v>
      </c>
      <c r="O94" s="92" t="s">
        <v>1041</v>
      </c>
      <c r="P94" s="93" t="s">
        <v>6</v>
      </c>
      <c r="R94" s="52" t="s">
        <v>273</v>
      </c>
      <c r="S94" s="53" t="s">
        <v>902</v>
      </c>
      <c r="T94" s="52" t="s">
        <v>966</v>
      </c>
      <c r="W94" s="50" t="str">
        <f t="array" ref="W94">IF($V$2=0,"",IFERROR(INDEX($B$3:$C$520,SMALL(IF($B$3:$B$520=$V$2,ROW($B$3:$B$520)-2),ROW(B92)),2),""))</f>
        <v/>
      </c>
      <c r="Z94" s="71"/>
      <c r="AC94" s="71"/>
      <c r="AF94" s="71"/>
      <c r="AL94" s="87" t="str">
        <f t="array" ref="AL94">IF($AK$2=0,"",IFERROR(INDEX($N$3:$O$499,SMALL(IF($N$3:$N$499=$AK$2,ROW($N$3:$N$499)-2),ROW(N92)),2),""))</f>
        <v/>
      </c>
      <c r="AO94" s="36"/>
      <c r="AP94" s="80"/>
    </row>
    <row r="95" spans="2:42">
      <c r="B95" s="24" t="s">
        <v>272</v>
      </c>
      <c r="C95" s="24" t="s">
        <v>249</v>
      </c>
      <c r="E95" s="91" t="s">
        <v>272</v>
      </c>
      <c r="F95" s="91" t="s">
        <v>1029</v>
      </c>
      <c r="H95" s="31"/>
      <c r="I95" s="271"/>
      <c r="K95" s="31"/>
      <c r="L95" s="271"/>
      <c r="N95" s="92" t="s">
        <v>273</v>
      </c>
      <c r="O95" s="92" t="s">
        <v>1042</v>
      </c>
      <c r="P95" s="93" t="s">
        <v>6</v>
      </c>
      <c r="R95" s="52" t="s">
        <v>273</v>
      </c>
      <c r="S95" s="53" t="s">
        <v>932</v>
      </c>
      <c r="T95" s="52" t="s">
        <v>966</v>
      </c>
      <c r="W95" s="50" t="str">
        <f t="array" ref="W95">IF($V$2=0,"",IFERROR(INDEX($B$3:$C$520,SMALL(IF($B$3:$B$520=$V$2,ROW($B$3:$B$520)-2),ROW(B93)),2),""))</f>
        <v/>
      </c>
      <c r="Z95" s="71"/>
      <c r="AC95" s="71"/>
      <c r="AF95" s="71"/>
      <c r="AL95" s="87" t="str">
        <f t="array" ref="AL95">IF($AK$2=0,"",IFERROR(INDEX($N$3:$O$499,SMALL(IF($N$3:$N$499=$AK$2,ROW($N$3:$N$499)-2),ROW(N93)),2),""))</f>
        <v/>
      </c>
      <c r="AO95" s="36"/>
      <c r="AP95" s="80"/>
    </row>
    <row r="96" spans="2:42">
      <c r="B96" s="24" t="s">
        <v>272</v>
      </c>
      <c r="C96" s="24" t="s">
        <v>250</v>
      </c>
      <c r="E96" s="94" t="s">
        <v>272</v>
      </c>
      <c r="F96" s="94" t="s">
        <v>1048</v>
      </c>
      <c r="H96" s="31"/>
      <c r="I96" s="271"/>
      <c r="K96" s="31"/>
      <c r="L96" s="271"/>
      <c r="N96" s="92" t="s">
        <v>273</v>
      </c>
      <c r="O96" s="92" t="s">
        <v>1043</v>
      </c>
      <c r="P96" s="93" t="s">
        <v>6</v>
      </c>
      <c r="R96" s="52" t="s">
        <v>273</v>
      </c>
      <c r="S96" s="53" t="s">
        <v>927</v>
      </c>
      <c r="T96" s="52" t="s">
        <v>966</v>
      </c>
      <c r="W96" s="50" t="str">
        <f t="array" ref="W96">IF($V$2=0,"",IFERROR(INDEX($B$3:$C$520,SMALL(IF($B$3:$B$520=$V$2,ROW($B$3:$B$520)-2),ROW(B94)),2),""))</f>
        <v/>
      </c>
      <c r="Z96" s="71"/>
      <c r="AC96" s="71"/>
      <c r="AF96" s="71"/>
      <c r="AL96" s="87" t="str">
        <f t="array" ref="AL96">IF($AK$2=0,"",IFERROR(INDEX($N$3:$O$499,SMALL(IF($N$3:$N$499=$AK$2,ROW($N$3:$N$499)-2),ROW(N94)),2),""))</f>
        <v/>
      </c>
      <c r="AO96" s="36"/>
      <c r="AP96" s="80"/>
    </row>
    <row r="97" spans="2:42">
      <c r="B97" s="24" t="s">
        <v>272</v>
      </c>
      <c r="C97" s="24" t="s">
        <v>251</v>
      </c>
      <c r="E97" s="85" t="s">
        <v>273</v>
      </c>
      <c r="F97" s="85" t="s">
        <v>741</v>
      </c>
      <c r="H97" s="31"/>
      <c r="I97" s="271"/>
      <c r="K97" s="31"/>
      <c r="L97" s="271"/>
      <c r="N97" s="92" t="s">
        <v>273</v>
      </c>
      <c r="O97" s="92" t="s">
        <v>1044</v>
      </c>
      <c r="P97" s="93" t="s">
        <v>6</v>
      </c>
      <c r="R97" s="52" t="s">
        <v>273</v>
      </c>
      <c r="S97" s="53" t="s">
        <v>934</v>
      </c>
      <c r="T97" s="52" t="s">
        <v>966</v>
      </c>
      <c r="W97" s="50" t="str">
        <f t="array" ref="W97">IF($V$2=0,"",IFERROR(INDEX($B$3:$C$520,SMALL(IF($B$3:$B$520=$V$2,ROW($B$3:$B$520)-2),ROW(B95)),2),""))</f>
        <v/>
      </c>
      <c r="Z97" s="71"/>
      <c r="AC97" s="71"/>
      <c r="AF97" s="71"/>
      <c r="AL97" s="87" t="str">
        <f t="array" ref="AL97">IF($AK$2=0,"",IFERROR(INDEX($N$3:$O$499,SMALL(IF($N$3:$N$499=$AK$2,ROW($N$3:$N$499)-2),ROW(N95)),2),""))</f>
        <v/>
      </c>
      <c r="AO97" s="36"/>
      <c r="AP97" s="80"/>
    </row>
    <row r="98" spans="2:42">
      <c r="B98" s="24" t="s">
        <v>272</v>
      </c>
      <c r="C98" s="24" t="s">
        <v>252</v>
      </c>
      <c r="E98" s="85" t="s">
        <v>273</v>
      </c>
      <c r="F98" s="85" t="s">
        <v>742</v>
      </c>
      <c r="H98" s="31"/>
      <c r="I98" s="271"/>
      <c r="K98" s="31"/>
      <c r="L98" s="271"/>
      <c r="N98" s="92" t="s">
        <v>163</v>
      </c>
      <c r="O98" s="92" t="s">
        <v>508</v>
      </c>
      <c r="P98" s="93" t="s">
        <v>6</v>
      </c>
      <c r="R98" s="52" t="s">
        <v>273</v>
      </c>
      <c r="S98" s="53" t="s">
        <v>935</v>
      </c>
      <c r="T98" s="52" t="s">
        <v>966</v>
      </c>
      <c r="W98" s="50" t="str">
        <f t="array" ref="W98">IF($V$2=0,"",IFERROR(INDEX($B$3:$C$520,SMALL(IF($B$3:$B$520=$V$2,ROW($B$3:$B$520)-2),ROW(B96)),2),""))</f>
        <v/>
      </c>
      <c r="Z98" s="71"/>
      <c r="AC98" s="71"/>
      <c r="AF98" s="71"/>
      <c r="AL98" s="87" t="str">
        <f t="array" ref="AL98">IF($AK$2=0,"",IFERROR(INDEX($N$3:$O$499,SMALL(IF($N$3:$N$499=$AK$2,ROW($N$3:$N$499)-2),ROW(N96)),2),""))</f>
        <v/>
      </c>
      <c r="AO98" s="36"/>
      <c r="AP98" s="80"/>
    </row>
    <row r="99" spans="2:42">
      <c r="B99" s="24" t="s">
        <v>272</v>
      </c>
      <c r="C99" s="24" t="s">
        <v>253</v>
      </c>
      <c r="E99" s="85" t="s">
        <v>273</v>
      </c>
      <c r="F99" s="85" t="s">
        <v>743</v>
      </c>
      <c r="H99" s="31"/>
      <c r="I99" s="271"/>
      <c r="K99" s="31"/>
      <c r="L99" s="271"/>
      <c r="N99" s="92" t="s">
        <v>273</v>
      </c>
      <c r="O99" s="92" t="s">
        <v>600</v>
      </c>
      <c r="P99" s="93" t="s">
        <v>6</v>
      </c>
      <c r="R99" s="52" t="s">
        <v>273</v>
      </c>
      <c r="S99" s="53" t="s">
        <v>936</v>
      </c>
      <c r="T99" s="52" t="s">
        <v>966</v>
      </c>
      <c r="W99" s="50" t="str">
        <f t="array" ref="W99">IF($V$2=0,"",IFERROR(INDEX($B$3:$C$520,SMALL(IF($B$3:$B$520=$V$2,ROW($B$3:$B$520)-2),ROW(B97)),2),""))</f>
        <v/>
      </c>
      <c r="Z99" s="71"/>
      <c r="AC99" s="71"/>
      <c r="AF99" s="71"/>
      <c r="AL99" s="87" t="str">
        <f t="array" ref="AL99">IF($AK$2=0,"",IFERROR(INDEX($N$3:$O$499,SMALL(IF($N$3:$N$499=$AK$2,ROW($N$3:$N$499)-2),ROW(N97)),2),""))</f>
        <v/>
      </c>
      <c r="AO99" s="36"/>
      <c r="AP99" s="80"/>
    </row>
    <row r="100" spans="2:42">
      <c r="B100" s="24" t="s">
        <v>272</v>
      </c>
      <c r="C100" s="24" t="s">
        <v>254</v>
      </c>
      <c r="E100" s="85" t="s">
        <v>273</v>
      </c>
      <c r="F100" s="85" t="s">
        <v>744</v>
      </c>
      <c r="H100" s="31"/>
      <c r="I100" s="271"/>
      <c r="K100" s="31"/>
      <c r="L100" s="271"/>
      <c r="N100" s="92" t="s">
        <v>273</v>
      </c>
      <c r="O100" s="92" t="s">
        <v>599</v>
      </c>
      <c r="P100" s="93" t="s">
        <v>6</v>
      </c>
      <c r="R100" s="52" t="s">
        <v>273</v>
      </c>
      <c r="S100" s="53" t="s">
        <v>928</v>
      </c>
      <c r="T100" s="52" t="s">
        <v>966</v>
      </c>
      <c r="W100" s="50" t="str">
        <f t="array" ref="W100">IF($V$2=0,"",IFERROR(INDEX($B$3:$C$520,SMALL(IF($B$3:$B$520=$V$2,ROW($B$3:$B$520)-2),ROW(B98)),2),""))</f>
        <v/>
      </c>
      <c r="Z100" s="71"/>
      <c r="AC100" s="71"/>
      <c r="AF100" s="71"/>
      <c r="AL100" s="87" t="str">
        <f t="array" ref="AL100">IF($AK$2=0,"",IFERROR(INDEX($N$3:$O$499,SMALL(IF($N$3:$N$499=$AK$2,ROW($N$3:$N$499)-2),ROW(N98)),2),""))</f>
        <v/>
      </c>
      <c r="AO100" s="36"/>
      <c r="AP100" s="80"/>
    </row>
    <row r="101" spans="2:42">
      <c r="B101" s="24" t="s">
        <v>272</v>
      </c>
      <c r="C101" s="24" t="s">
        <v>255</v>
      </c>
      <c r="E101" s="94" t="s">
        <v>273</v>
      </c>
      <c r="F101" s="94" t="s">
        <v>1048</v>
      </c>
      <c r="H101" s="31"/>
      <c r="I101" s="271"/>
      <c r="K101" s="31"/>
      <c r="L101" s="271"/>
      <c r="N101" s="92" t="s">
        <v>273</v>
      </c>
      <c r="O101" s="92" t="s">
        <v>582</v>
      </c>
      <c r="P101" s="93" t="s">
        <v>6</v>
      </c>
      <c r="R101" s="52" t="s">
        <v>273</v>
      </c>
      <c r="S101" s="53" t="s">
        <v>926</v>
      </c>
      <c r="T101" s="52" t="s">
        <v>966</v>
      </c>
      <c r="W101" s="50" t="str">
        <f t="array" ref="W101">IF($V$2=0,"",IFERROR(INDEX($B$3:$C$520,SMALL(IF($B$3:$B$520=$V$2,ROW($B$3:$B$520)-2),ROW(B99)),2),""))</f>
        <v/>
      </c>
      <c r="Z101" s="71"/>
      <c r="AC101" s="71"/>
      <c r="AF101" s="71"/>
      <c r="AL101" s="87" t="str">
        <f t="array" ref="AL101">IF($AK$2=0,"",IFERROR(INDEX($N$3:$O$499,SMALL(IF($N$3:$N$499=$AK$2,ROW($N$3:$N$499)-2),ROW(N99)),2),""))</f>
        <v/>
      </c>
      <c r="AO101" s="36"/>
      <c r="AP101" s="80"/>
    </row>
    <row r="102" spans="2:42">
      <c r="B102" s="24" t="s">
        <v>272</v>
      </c>
      <c r="C102" s="24" t="s">
        <v>256</v>
      </c>
      <c r="E102" s="85" t="s">
        <v>321</v>
      </c>
      <c r="F102" s="85" t="s">
        <v>689</v>
      </c>
      <c r="H102" s="31"/>
      <c r="I102" s="271"/>
      <c r="K102" s="31"/>
      <c r="L102" s="271"/>
      <c r="N102" s="92" t="s">
        <v>273</v>
      </c>
      <c r="O102" s="92" t="s">
        <v>581</v>
      </c>
      <c r="P102" s="93" t="s">
        <v>6</v>
      </c>
      <c r="R102" s="52" t="s">
        <v>273</v>
      </c>
      <c r="S102" s="53" t="s">
        <v>953</v>
      </c>
      <c r="T102" s="52" t="s">
        <v>966</v>
      </c>
      <c r="W102" s="50" t="str">
        <f t="array" ref="W102">IF($V$2=0,"",IFERROR(INDEX($B$3:$C$520,SMALL(IF($B$3:$B$520=$V$2,ROW($B$3:$B$520)-2),ROW(B100)),2),""))</f>
        <v/>
      </c>
      <c r="Z102" s="71"/>
      <c r="AC102" s="71"/>
      <c r="AF102" s="71"/>
      <c r="AL102" s="87" t="str">
        <f t="array" ref="AL102">IF($AK$2=0,"",IFERROR(INDEX($N$3:$O$499,SMALL(IF($N$3:$N$499=$AK$2,ROW($N$3:$N$499)-2),ROW(N100)),2),""))</f>
        <v/>
      </c>
      <c r="AO102" s="36"/>
      <c r="AP102" s="80"/>
    </row>
    <row r="103" spans="2:42">
      <c r="B103" s="24" t="s">
        <v>272</v>
      </c>
      <c r="C103" s="24" t="s">
        <v>257</v>
      </c>
      <c r="E103" s="85" t="s">
        <v>321</v>
      </c>
      <c r="F103" s="85" t="s">
        <v>692</v>
      </c>
      <c r="H103" s="31"/>
      <c r="I103" s="271"/>
      <c r="K103" s="31"/>
      <c r="L103" s="271"/>
      <c r="N103" s="92" t="s">
        <v>132</v>
      </c>
      <c r="O103" s="92" t="s">
        <v>534</v>
      </c>
      <c r="P103" s="93" t="s">
        <v>6</v>
      </c>
      <c r="R103" s="52" t="s">
        <v>273</v>
      </c>
      <c r="S103" s="53" t="s">
        <v>939</v>
      </c>
      <c r="T103" s="52" t="s">
        <v>911</v>
      </c>
      <c r="W103" s="50" t="str">
        <f t="array" ref="W103">IF($V$2=0,"",IFERROR(INDEX($B$3:$C$520,SMALL(IF($B$3:$B$520=$V$2,ROW($B$3:$B$520)-2),ROW(B101)),2),""))</f>
        <v/>
      </c>
      <c r="Z103" s="71"/>
      <c r="AL103" s="87" t="str">
        <f t="array" ref="AL103">IF($AK$2=0,"",IFERROR(INDEX($N$3:$O$499,SMALL(IF($N$3:$N$499=$AK$2,ROW($N$3:$N$499)-2),ROW(N101)),2),""))</f>
        <v/>
      </c>
      <c r="AO103" s="36"/>
      <c r="AP103" s="80"/>
    </row>
    <row r="104" spans="2:42">
      <c r="B104" s="24" t="s">
        <v>272</v>
      </c>
      <c r="C104" s="24" t="s">
        <v>258</v>
      </c>
      <c r="E104" s="85" t="s">
        <v>321</v>
      </c>
      <c r="F104" s="85" t="s">
        <v>693</v>
      </c>
      <c r="H104" s="31"/>
      <c r="I104" s="271"/>
      <c r="K104" s="31"/>
      <c r="L104" s="271"/>
      <c r="N104" s="92" t="s">
        <v>321</v>
      </c>
      <c r="O104" s="92" t="s">
        <v>570</v>
      </c>
      <c r="P104" s="93" t="s">
        <v>6</v>
      </c>
      <c r="R104" s="52" t="s">
        <v>273</v>
      </c>
      <c r="S104" s="53" t="s">
        <v>954</v>
      </c>
      <c r="T104" s="52" t="s">
        <v>911</v>
      </c>
      <c r="W104" s="50" t="str">
        <f t="array" ref="W104">IF($V$2=0,"",IFERROR(INDEX($B$3:$C$520,SMALL(IF($B$3:$B$520=$V$2,ROW($B$3:$B$520)-2),ROW(B102)),2),""))</f>
        <v/>
      </c>
      <c r="Z104" s="71"/>
      <c r="AL104" s="87" t="str">
        <f t="array" ref="AL104">IF($AK$2=0,"",IFERROR(INDEX($N$3:$O$499,SMALL(IF($N$3:$N$499=$AK$2,ROW($N$3:$N$499)-2),ROW(N102)),2),""))</f>
        <v/>
      </c>
      <c r="AO104" s="36"/>
      <c r="AP104" s="80"/>
    </row>
    <row r="105" spans="2:42">
      <c r="B105" s="24" t="s">
        <v>272</v>
      </c>
      <c r="C105" s="24" t="s">
        <v>259</v>
      </c>
      <c r="E105" s="85" t="s">
        <v>321</v>
      </c>
      <c r="F105" s="85" t="s">
        <v>694</v>
      </c>
      <c r="H105" s="31"/>
      <c r="I105" s="271"/>
      <c r="K105" s="31"/>
      <c r="L105" s="271"/>
      <c r="N105" s="92" t="s">
        <v>321</v>
      </c>
      <c r="O105" s="92" t="s">
        <v>571</v>
      </c>
      <c r="P105" s="93" t="s">
        <v>6</v>
      </c>
      <c r="R105" s="52" t="s">
        <v>273</v>
      </c>
      <c r="S105" s="53" t="s">
        <v>940</v>
      </c>
      <c r="T105" s="52" t="s">
        <v>911</v>
      </c>
      <c r="W105" s="50" t="str">
        <f t="array" ref="W105">IF($V$2=0,"",IFERROR(INDEX($B$3:$C$520,SMALL(IF($B$3:$B$520=$V$2,ROW($B$3:$B$520)-2),ROW(B103)),2),""))</f>
        <v/>
      </c>
      <c r="Z105" s="71"/>
      <c r="AL105" s="87" t="str">
        <f t="array" ref="AL105">IF($AK$2=0,"",IFERROR(INDEX($N$3:$O$499,SMALL(IF($N$3:$N$499=$AK$2,ROW($N$3:$N$499)-2),ROW(N103)),2),""))</f>
        <v/>
      </c>
      <c r="AO105" s="36"/>
      <c r="AP105" s="80"/>
    </row>
    <row r="106" spans="2:42">
      <c r="B106" s="24" t="s">
        <v>272</v>
      </c>
      <c r="C106" s="24" t="s">
        <v>260</v>
      </c>
      <c r="E106" s="85" t="s">
        <v>321</v>
      </c>
      <c r="F106" s="85" t="s">
        <v>695</v>
      </c>
      <c r="H106" s="31"/>
      <c r="I106" s="271"/>
      <c r="K106" s="31"/>
      <c r="L106" s="271"/>
      <c r="N106" s="92" t="s">
        <v>163</v>
      </c>
      <c r="O106" s="92" t="s">
        <v>504</v>
      </c>
      <c r="P106" s="93" t="s">
        <v>6</v>
      </c>
      <c r="R106" s="52" t="s">
        <v>273</v>
      </c>
      <c r="S106" s="53" t="s">
        <v>948</v>
      </c>
      <c r="T106" s="52" t="s">
        <v>911</v>
      </c>
      <c r="W106" s="50" t="str">
        <f t="array" ref="W106">IF($V$2=0,"",IFERROR(INDEX($B$3:$C$520,SMALL(IF($B$3:$B$520=$V$2,ROW($B$3:$B$520)-2),ROW(B104)),2),""))</f>
        <v/>
      </c>
      <c r="Z106" s="71"/>
      <c r="AL106" s="87" t="str">
        <f t="array" ref="AL106">IF($AK$2=0,"",IFERROR(INDEX($N$3:$O$499,SMALL(IF($N$3:$N$499=$AK$2,ROW($N$3:$N$499)-2),ROW(N104)),2),""))</f>
        <v/>
      </c>
      <c r="AO106" s="36"/>
      <c r="AP106" s="80"/>
    </row>
    <row r="107" spans="2:42">
      <c r="B107" s="24" t="s">
        <v>272</v>
      </c>
      <c r="C107" s="24" t="s">
        <v>261</v>
      </c>
      <c r="E107" s="85" t="s">
        <v>321</v>
      </c>
      <c r="F107" s="85" t="s">
        <v>696</v>
      </c>
      <c r="H107" s="31"/>
      <c r="I107" s="271"/>
      <c r="K107" s="31"/>
      <c r="L107" s="271"/>
      <c r="N107" s="92" t="s">
        <v>163</v>
      </c>
      <c r="O107" s="92" t="s">
        <v>509</v>
      </c>
      <c r="P107" s="93" t="s">
        <v>6</v>
      </c>
      <c r="R107" s="52" t="s">
        <v>273</v>
      </c>
      <c r="S107" s="53" t="s">
        <v>941</v>
      </c>
      <c r="T107" s="52" t="s">
        <v>911</v>
      </c>
      <c r="W107" s="50" t="str">
        <f t="array" ref="W107">IF($V$2=0,"",IFERROR(INDEX($B$3:$C$520,SMALL(IF($B$3:$B$520=$V$2,ROW($B$3:$B$520)-2),ROW(B105)),2),""))</f>
        <v/>
      </c>
      <c r="Z107" s="71"/>
      <c r="AL107" s="87" t="str">
        <f t="array" ref="AL107">IF($AK$2=0,"",IFERROR(INDEX($N$3:$O$499,SMALL(IF($N$3:$N$499=$AK$2,ROW($N$3:$N$499)-2),ROW(N105)),2),""))</f>
        <v/>
      </c>
      <c r="AO107" s="36"/>
      <c r="AP107" s="80"/>
    </row>
    <row r="108" spans="2:42">
      <c r="B108" s="24" t="s">
        <v>272</v>
      </c>
      <c r="C108" s="24" t="s">
        <v>262</v>
      </c>
      <c r="E108" s="85" t="s">
        <v>321</v>
      </c>
      <c r="F108" s="85" t="s">
        <v>697</v>
      </c>
      <c r="H108" s="31"/>
      <c r="I108" s="271"/>
      <c r="K108" s="31"/>
      <c r="L108" s="271"/>
      <c r="N108" s="92" t="s">
        <v>272</v>
      </c>
      <c r="O108" s="92" t="s">
        <v>646</v>
      </c>
      <c r="P108" s="93" t="s">
        <v>1057</v>
      </c>
      <c r="R108" s="52" t="s">
        <v>273</v>
      </c>
      <c r="S108" s="53" t="s">
        <v>463</v>
      </c>
      <c r="T108" s="52" t="s">
        <v>912</v>
      </c>
      <c r="W108" s="50" t="str">
        <f t="array" ref="W108">IF($V$2=0,"",IFERROR(INDEX($B$3:$C$520,SMALL(IF($B$3:$B$520=$V$2,ROW($B$3:$B$520)-2),ROW(B106)),2),""))</f>
        <v/>
      </c>
      <c r="Z108" s="71"/>
      <c r="AL108" s="87" t="str">
        <f t="array" ref="AL108">IF($AK$2=0,"",IFERROR(INDEX($N$3:$O$499,SMALL(IF($N$3:$N$499=$AK$2,ROW($N$3:$N$499)-2),ROW(N106)),2),""))</f>
        <v/>
      </c>
      <c r="AO108" s="36"/>
      <c r="AP108" s="80"/>
    </row>
    <row r="109" spans="2:42">
      <c r="B109" s="24" t="s">
        <v>272</v>
      </c>
      <c r="C109" s="24" t="s">
        <v>263</v>
      </c>
      <c r="E109" s="94" t="s">
        <v>321</v>
      </c>
      <c r="F109" s="94" t="s">
        <v>1048</v>
      </c>
      <c r="H109" s="31"/>
      <c r="I109" s="271"/>
      <c r="K109" s="31"/>
      <c r="L109" s="271"/>
      <c r="N109" s="92" t="s">
        <v>272</v>
      </c>
      <c r="O109" s="92" t="s">
        <v>647</v>
      </c>
      <c r="P109" s="93" t="s">
        <v>1057</v>
      </c>
      <c r="R109" s="52" t="s">
        <v>273</v>
      </c>
      <c r="S109" s="53" t="s">
        <v>955</v>
      </c>
      <c r="T109" s="52" t="s">
        <v>912</v>
      </c>
      <c r="W109" s="50" t="str">
        <f t="array" ref="W109">IF($V$2=0,"",IFERROR(INDEX($B$3:$C$520,SMALL(IF($B$3:$B$520=$V$2,ROW($B$3:$B$520)-2),ROW(B107)),2),""))</f>
        <v/>
      </c>
      <c r="Z109" s="71"/>
      <c r="AL109" s="87" t="str">
        <f t="array" ref="AL109">IF($AK$2=0,"",IFERROR(INDEX($N$3:$O$499,SMALL(IF($N$3:$N$499=$AK$2,ROW($N$3:$N$499)-2),ROW(N107)),2),""))</f>
        <v/>
      </c>
      <c r="AO109" s="36"/>
      <c r="AP109" s="80"/>
    </row>
    <row r="110" spans="2:42">
      <c r="B110" s="24" t="s">
        <v>272</v>
      </c>
      <c r="C110" s="24" t="s">
        <v>264</v>
      </c>
      <c r="E110" s="85" t="s">
        <v>384</v>
      </c>
      <c r="F110" s="85" t="s">
        <v>382</v>
      </c>
      <c r="H110" s="31"/>
      <c r="I110" s="271"/>
      <c r="K110" s="31"/>
      <c r="L110" s="271"/>
      <c r="N110" s="92" t="s">
        <v>197</v>
      </c>
      <c r="O110" s="92" t="s">
        <v>487</v>
      </c>
      <c r="P110" s="93" t="s">
        <v>6</v>
      </c>
      <c r="R110" s="52" t="s">
        <v>273</v>
      </c>
      <c r="S110" s="53" t="s">
        <v>956</v>
      </c>
      <c r="T110" s="52" t="s">
        <v>912</v>
      </c>
      <c r="W110" s="50" t="str">
        <f t="array" ref="W110">IF($V$2=0,"",IFERROR(INDEX($B$3:$C$520,SMALL(IF($B$3:$B$520=$V$2,ROW($B$3:$B$520)-2),ROW(B108)),2),""))</f>
        <v/>
      </c>
      <c r="Z110" s="71"/>
      <c r="AL110" s="87" t="str">
        <f t="array" ref="AL110">IF($AK$2=0,"",IFERROR(INDEX($N$3:$O$499,SMALL(IF($N$3:$N$499=$AK$2,ROW($N$3:$N$499)-2),ROW(N108)),2),""))</f>
        <v/>
      </c>
      <c r="AO110" s="36"/>
      <c r="AP110" s="80"/>
    </row>
    <row r="111" spans="2:42">
      <c r="B111" s="24" t="s">
        <v>272</v>
      </c>
      <c r="C111" s="24" t="s">
        <v>265</v>
      </c>
      <c r="E111" s="85" t="s">
        <v>384</v>
      </c>
      <c r="F111" s="85" t="s">
        <v>383</v>
      </c>
      <c r="H111" s="31"/>
      <c r="I111" s="271"/>
      <c r="K111" s="31"/>
      <c r="L111" s="271"/>
      <c r="N111" s="92" t="s">
        <v>272</v>
      </c>
      <c r="O111" s="92" t="s">
        <v>648</v>
      </c>
      <c r="P111" s="93" t="s">
        <v>1057</v>
      </c>
      <c r="R111" s="52" t="s">
        <v>273</v>
      </c>
      <c r="S111" s="53" t="s">
        <v>957</v>
      </c>
      <c r="T111" s="52" t="s">
        <v>912</v>
      </c>
      <c r="W111" s="50" t="str">
        <f t="array" ref="W111">IF($V$2=0,"",IFERROR(INDEX($B$3:$C$520,SMALL(IF($B$3:$B$520=$V$2,ROW($B$3:$B$520)-2),ROW(B109)),2),""))</f>
        <v/>
      </c>
      <c r="Z111" s="71"/>
      <c r="AL111" s="87" t="str">
        <f t="array" ref="AL111">IF($AK$2=0,"",IFERROR(INDEX($N$3:$O$499,SMALL(IF($N$3:$N$499=$AK$2,ROW($N$3:$N$499)-2),ROW(N109)),2),""))</f>
        <v/>
      </c>
      <c r="AO111" s="36"/>
      <c r="AP111" s="80"/>
    </row>
    <row r="112" spans="2:42">
      <c r="B112" s="24" t="s">
        <v>272</v>
      </c>
      <c r="C112" s="24" t="s">
        <v>266</v>
      </c>
      <c r="E112" s="85" t="s">
        <v>384</v>
      </c>
      <c r="F112" s="85" t="s">
        <v>1030</v>
      </c>
      <c r="H112" s="31"/>
      <c r="I112" s="271"/>
      <c r="K112" s="31"/>
      <c r="L112" s="271"/>
      <c r="N112" s="92" t="s">
        <v>272</v>
      </c>
      <c r="O112" s="92" t="s">
        <v>649</v>
      </c>
      <c r="P112" s="93" t="s">
        <v>1057</v>
      </c>
      <c r="R112" s="52" t="s">
        <v>273</v>
      </c>
      <c r="S112" s="53" t="s">
        <v>903</v>
      </c>
      <c r="T112" s="52" t="s">
        <v>912</v>
      </c>
      <c r="W112" s="50" t="str">
        <f t="array" ref="W112">IF($V$2=0,"",IFERROR(INDEX($B$3:$C$520,SMALL(IF($B$3:$B$520=$V$2,ROW($B$3:$B$520)-2),ROW(B110)),2),""))</f>
        <v/>
      </c>
      <c r="Z112" s="71"/>
      <c r="AL112" s="87" t="str">
        <f t="array" ref="AL112">IF($AK$2=0,"",IFERROR(INDEX($N$3:$O$499,SMALL(IF($N$3:$N$499=$AK$2,ROW($N$3:$N$499)-2),ROW(N110)),2),""))</f>
        <v/>
      </c>
      <c r="AO112" s="36"/>
      <c r="AP112" s="80"/>
    </row>
    <row r="113" spans="2:42">
      <c r="B113" s="24" t="s">
        <v>272</v>
      </c>
      <c r="C113" s="24" t="s">
        <v>267</v>
      </c>
      <c r="E113" s="85" t="s">
        <v>384</v>
      </c>
      <c r="F113" s="85" t="s">
        <v>1031</v>
      </c>
      <c r="H113" s="31"/>
      <c r="I113" s="271"/>
      <c r="K113" s="31"/>
      <c r="L113" s="271"/>
      <c r="N113" s="92" t="s">
        <v>272</v>
      </c>
      <c r="O113" s="92" t="s">
        <v>650</v>
      </c>
      <c r="P113" s="93" t="s">
        <v>1057</v>
      </c>
      <c r="R113" s="52" t="s">
        <v>273</v>
      </c>
      <c r="S113" s="53" t="s">
        <v>904</v>
      </c>
      <c r="T113" s="52" t="s">
        <v>912</v>
      </c>
      <c r="W113" s="50" t="str">
        <f t="array" ref="W113">IF($V$2=0,"",IFERROR(INDEX($B$3:$C$520,SMALL(IF($B$3:$B$520=$V$2,ROW($B$3:$B$520)-2),ROW(B111)),2),""))</f>
        <v/>
      </c>
      <c r="Z113" s="71"/>
      <c r="AL113" s="87" t="str">
        <f t="array" ref="AL113">IF($AK$2=0,"",IFERROR(INDEX($N$3:$O$499,SMALL(IF($N$3:$N$499=$AK$2,ROW($N$3:$N$499)-2),ROW(N111)),2),""))</f>
        <v/>
      </c>
      <c r="AO113" s="36"/>
      <c r="AP113" s="80"/>
    </row>
    <row r="114" spans="2:42">
      <c r="B114" s="24" t="s">
        <v>272</v>
      </c>
      <c r="C114" s="24" t="s">
        <v>268</v>
      </c>
      <c r="E114" s="94" t="s">
        <v>384</v>
      </c>
      <c r="F114" s="94" t="s">
        <v>1048</v>
      </c>
      <c r="H114" s="31"/>
      <c r="I114" s="271"/>
      <c r="K114" s="31"/>
      <c r="L114" s="271"/>
      <c r="N114" s="92" t="s">
        <v>272</v>
      </c>
      <c r="O114" s="92" t="s">
        <v>651</v>
      </c>
      <c r="P114" s="93" t="s">
        <v>1057</v>
      </c>
      <c r="R114" s="52" t="s">
        <v>273</v>
      </c>
      <c r="S114" s="53" t="s">
        <v>905</v>
      </c>
      <c r="T114" s="52" t="s">
        <v>912</v>
      </c>
      <c r="W114" s="50" t="str">
        <f t="array" ref="W114">IF($V$2=0,"",IFERROR(INDEX($B$3:$C$520,SMALL(IF($B$3:$B$520=$V$2,ROW($B$3:$B$520)-2),ROW(B112)),2),""))</f>
        <v/>
      </c>
      <c r="Z114" s="71"/>
      <c r="AL114" s="87" t="str">
        <f t="array" ref="AL114">IF($AK$2=0,"",IFERROR(INDEX($N$3:$O$499,SMALL(IF($N$3:$N$499=$AK$2,ROW($N$3:$N$499)-2),ROW(N112)),2),""))</f>
        <v/>
      </c>
      <c r="AO114" s="36"/>
      <c r="AP114" s="80"/>
    </row>
    <row r="115" spans="2:42">
      <c r="B115" s="24" t="s">
        <v>272</v>
      </c>
      <c r="C115" s="24" t="s">
        <v>756</v>
      </c>
      <c r="E115" s="31"/>
      <c r="F115" s="31"/>
      <c r="H115" s="31"/>
      <c r="I115" s="271"/>
      <c r="K115" s="31"/>
      <c r="L115" s="271"/>
      <c r="N115" s="92" t="s">
        <v>272</v>
      </c>
      <c r="O115" s="92" t="s">
        <v>652</v>
      </c>
      <c r="P115" s="93" t="s">
        <v>1057</v>
      </c>
      <c r="R115" s="52" t="s">
        <v>273</v>
      </c>
      <c r="S115" s="53" t="s">
        <v>200</v>
      </c>
      <c r="T115" s="52" t="s">
        <v>912</v>
      </c>
      <c r="W115" s="50" t="str">
        <f t="array" ref="W115">IF($V$2=0,"",IFERROR(INDEX($B$3:$C$520,SMALL(IF($B$3:$B$520=$V$2,ROW($B$3:$B$520)-2),ROW(B113)),2),""))</f>
        <v/>
      </c>
      <c r="AL115" s="87" t="str">
        <f t="array" ref="AL115">IF($AK$2=0,"",IFERROR(INDEX($N$3:$O$499,SMALL(IF($N$3:$N$499=$AK$2,ROW($N$3:$N$499)-2),ROW(N113)),2),""))</f>
        <v/>
      </c>
      <c r="AO115" s="36"/>
      <c r="AP115" s="80"/>
    </row>
    <row r="116" spans="2:42">
      <c r="B116" s="24" t="s">
        <v>272</v>
      </c>
      <c r="C116" s="24" t="s">
        <v>757</v>
      </c>
      <c r="E116" s="31"/>
      <c r="F116" s="31"/>
      <c r="H116" s="31"/>
      <c r="I116" s="271"/>
      <c r="K116" s="31"/>
      <c r="L116" s="271"/>
      <c r="N116" s="92" t="s">
        <v>272</v>
      </c>
      <c r="O116" s="92" t="s">
        <v>653</v>
      </c>
      <c r="P116" s="93" t="s">
        <v>1057</v>
      </c>
      <c r="R116" s="52" t="s">
        <v>273</v>
      </c>
      <c r="S116" s="53" t="s">
        <v>906</v>
      </c>
      <c r="T116" s="52" t="s">
        <v>912</v>
      </c>
      <c r="W116" s="50" t="str">
        <f t="array" ref="W116">IF($V$2=0,"",IFERROR(INDEX($B$3:$C$520,SMALL(IF($B$3:$B$520=$V$2,ROW($B$3:$B$520)-2),ROW(B114)),2),""))</f>
        <v/>
      </c>
      <c r="AL116" s="87" t="str">
        <f t="array" ref="AL116">IF($AK$2=0,"",IFERROR(INDEX($N$3:$O$499,SMALL(IF($N$3:$N$499=$AK$2,ROW($N$3:$N$499)-2),ROW(N114)),2),""))</f>
        <v/>
      </c>
      <c r="AO116" s="36"/>
      <c r="AP116" s="80"/>
    </row>
    <row r="117" spans="2:42">
      <c r="B117" s="24" t="s">
        <v>272</v>
      </c>
      <c r="C117" s="24" t="s">
        <v>758</v>
      </c>
      <c r="E117" s="31"/>
      <c r="F117" s="31"/>
      <c r="H117" s="31"/>
      <c r="I117" s="271"/>
      <c r="K117" s="31"/>
      <c r="L117" s="271"/>
      <c r="N117" s="92" t="s">
        <v>272</v>
      </c>
      <c r="O117" s="92" t="s">
        <v>654</v>
      </c>
      <c r="P117" s="93" t="s">
        <v>1057</v>
      </c>
      <c r="R117" s="52" t="s">
        <v>273</v>
      </c>
      <c r="S117" s="53" t="s">
        <v>943</v>
      </c>
      <c r="T117" s="52" t="s">
        <v>912</v>
      </c>
      <c r="W117" s="50" t="str">
        <f t="array" ref="W117">IF($V$2=0,"",IFERROR(INDEX($B$3:$C$520,SMALL(IF($B$3:$B$520=$V$2,ROW($B$3:$B$520)-2),ROW(B115)),2),""))</f>
        <v/>
      </c>
      <c r="AL117" s="87" t="str">
        <f t="array" ref="AL117">IF($AK$2=0,"",IFERROR(INDEX($N$3:$O$499,SMALL(IF($N$3:$N$499=$AK$2,ROW($N$3:$N$499)-2),ROW(N115)),2),""))</f>
        <v/>
      </c>
      <c r="AO117" s="36"/>
      <c r="AP117" s="80"/>
    </row>
    <row r="118" spans="2:42">
      <c r="B118" s="24" t="s">
        <v>272</v>
      </c>
      <c r="C118" s="24" t="s">
        <v>766</v>
      </c>
      <c r="E118" s="31"/>
      <c r="F118" s="31"/>
      <c r="H118" s="31"/>
      <c r="I118" s="271"/>
      <c r="K118" s="31"/>
      <c r="L118" s="271"/>
      <c r="N118" s="92" t="s">
        <v>384</v>
      </c>
      <c r="O118" s="92" t="s">
        <v>407</v>
      </c>
      <c r="P118" s="93" t="s">
        <v>1057</v>
      </c>
      <c r="R118" s="52" t="s">
        <v>273</v>
      </c>
      <c r="S118" s="53" t="s">
        <v>949</v>
      </c>
      <c r="T118" s="52" t="s">
        <v>429</v>
      </c>
      <c r="W118" s="50" t="str">
        <f t="array" ref="W118">IF($V$2=0,"",IFERROR(INDEX($B$3:$C$520,SMALL(IF($B$3:$B$520=$V$2,ROW($B$3:$B$520)-2),ROW(B116)),2),""))</f>
        <v/>
      </c>
      <c r="AL118" s="87" t="str">
        <f t="array" ref="AL118">IF($AK$2=0,"",IFERROR(INDEX($N$3:$O$499,SMALL(IF($N$3:$N$499=$AK$2,ROW($N$3:$N$499)-2),ROW(N116)),2),""))</f>
        <v/>
      </c>
      <c r="AO118" s="36"/>
      <c r="AP118" s="80"/>
    </row>
    <row r="119" spans="2:42">
      <c r="B119" s="24" t="s">
        <v>272</v>
      </c>
      <c r="C119" s="24" t="s">
        <v>767</v>
      </c>
      <c r="E119" s="31"/>
      <c r="F119" s="31"/>
      <c r="H119" s="31"/>
      <c r="I119" s="271"/>
      <c r="K119" s="31"/>
      <c r="L119" s="271"/>
      <c r="N119" s="92" t="s">
        <v>384</v>
      </c>
      <c r="O119" s="92" t="s">
        <v>399</v>
      </c>
      <c r="P119" s="93" t="s">
        <v>1057</v>
      </c>
      <c r="R119" s="52" t="s">
        <v>273</v>
      </c>
      <c r="S119" s="53" t="s">
        <v>901</v>
      </c>
      <c r="T119" s="52" t="s">
        <v>429</v>
      </c>
      <c r="W119" s="50" t="str">
        <f t="array" ref="W119">IF($V$2=0,"",IFERROR(INDEX($B$3:$C$520,SMALL(IF($B$3:$B$520=$V$2,ROW($B$3:$B$520)-2),ROW(B117)),2),""))</f>
        <v/>
      </c>
      <c r="AL119" s="87" t="str">
        <f t="array" ref="AL119">IF($AK$2=0,"",IFERROR(INDEX($N$3:$O$499,SMALL(IF($N$3:$N$499=$AK$2,ROW($N$3:$N$499)-2),ROW(N117)),2),""))</f>
        <v/>
      </c>
      <c r="AO119" s="36"/>
      <c r="AP119" s="80"/>
    </row>
    <row r="120" spans="2:42">
      <c r="B120" s="24" t="s">
        <v>272</v>
      </c>
      <c r="C120" s="24" t="s">
        <v>754</v>
      </c>
      <c r="E120" s="31"/>
      <c r="F120" s="31"/>
      <c r="H120" s="31"/>
      <c r="I120" s="271"/>
      <c r="K120" s="31"/>
      <c r="L120" s="271"/>
      <c r="N120" s="92" t="s">
        <v>384</v>
      </c>
      <c r="O120" s="92" t="s">
        <v>408</v>
      </c>
      <c r="P120" s="93" t="s">
        <v>1057</v>
      </c>
      <c r="R120" s="52" t="s">
        <v>273</v>
      </c>
      <c r="S120" s="53" t="s">
        <v>907</v>
      </c>
      <c r="T120" s="52" t="s">
        <v>429</v>
      </c>
      <c r="W120" s="50" t="str">
        <f t="array" ref="W120">IF($V$2=0,"",IFERROR(INDEX($B$3:$C$520,SMALL(IF($B$3:$B$520=$V$2,ROW($B$3:$B$520)-2),ROW(B118)),2),""))</f>
        <v/>
      </c>
      <c r="AL120" s="87" t="str">
        <f t="array" ref="AL120">IF($AK$2=0,"",IFERROR(INDEX($N$3:$O$499,SMALL(IF($N$3:$N$499=$AK$2,ROW($N$3:$N$499)-2),ROW(N118)),2),""))</f>
        <v/>
      </c>
      <c r="AO120" s="36"/>
      <c r="AP120" s="80"/>
    </row>
    <row r="121" spans="2:42">
      <c r="B121" s="24" t="s">
        <v>272</v>
      </c>
      <c r="C121" s="24" t="s">
        <v>755</v>
      </c>
      <c r="E121" s="31"/>
      <c r="F121" s="31"/>
      <c r="H121" s="31"/>
      <c r="I121" s="271"/>
      <c r="K121" s="31"/>
      <c r="L121" s="271"/>
      <c r="N121" s="92" t="s">
        <v>384</v>
      </c>
      <c r="O121" s="92" t="s">
        <v>418</v>
      </c>
      <c r="P121" s="93" t="s">
        <v>1057</v>
      </c>
      <c r="R121" s="52" t="s">
        <v>273</v>
      </c>
      <c r="S121" s="53" t="s">
        <v>945</v>
      </c>
      <c r="T121" s="52" t="s">
        <v>429</v>
      </c>
      <c r="W121" s="50" t="str">
        <f t="array" ref="W121">IF($V$2=0,"",IFERROR(INDEX($B$3:$C$520,SMALL(IF($B$3:$B$520=$V$2,ROW($B$3:$B$520)-2),ROW(B119)),2),""))</f>
        <v/>
      </c>
      <c r="AL121" s="87" t="str">
        <f t="array" ref="AL121">IF($AK$2=0,"",IFERROR(INDEX($N$3:$O$499,SMALL(IF($N$3:$N$499=$AK$2,ROW($N$3:$N$499)-2),ROW(N119)),2),""))</f>
        <v/>
      </c>
      <c r="AO121" s="36"/>
      <c r="AP121" s="80"/>
    </row>
    <row r="122" spans="2:42">
      <c r="B122" s="24" t="s">
        <v>272</v>
      </c>
      <c r="C122" s="24" t="s">
        <v>808</v>
      </c>
      <c r="E122" s="31"/>
      <c r="F122" s="31"/>
      <c r="H122" s="31"/>
      <c r="I122" s="271"/>
      <c r="K122" s="31"/>
      <c r="L122" s="271"/>
      <c r="N122" s="92" t="s">
        <v>384</v>
      </c>
      <c r="O122" s="92" t="s">
        <v>798</v>
      </c>
      <c r="P122" s="93" t="s">
        <v>1057</v>
      </c>
      <c r="R122" s="52" t="s">
        <v>273</v>
      </c>
      <c r="S122" s="53" t="s">
        <v>436</v>
      </c>
      <c r="T122" s="52" t="s">
        <v>429</v>
      </c>
      <c r="W122" s="50" t="str">
        <f t="array" ref="W122">IF($V$2=0,"",IFERROR(INDEX($B$3:$C$520,SMALL(IF($B$3:$B$520=$V$2,ROW($B$3:$B$520)-2),ROW(B120)),2),""))</f>
        <v/>
      </c>
      <c r="AL122" s="87" t="str">
        <f t="array" ref="AL122">IF($AK$2=0,"",IFERROR(INDEX($N$3:$O$499,SMALL(IF($N$3:$N$499=$AK$2,ROW($N$3:$N$499)-2),ROW(N120)),2),""))</f>
        <v/>
      </c>
      <c r="AO122" s="36"/>
      <c r="AP122" s="80"/>
    </row>
    <row r="123" spans="2:42">
      <c r="B123" s="24" t="s">
        <v>272</v>
      </c>
      <c r="C123" s="24" t="s">
        <v>809</v>
      </c>
      <c r="E123" s="31"/>
      <c r="F123" s="31"/>
      <c r="H123" s="31"/>
      <c r="I123" s="271"/>
      <c r="K123" s="31"/>
      <c r="L123" s="271"/>
      <c r="N123" s="92" t="s">
        <v>384</v>
      </c>
      <c r="O123" s="92" t="s">
        <v>843</v>
      </c>
      <c r="P123" s="93" t="s">
        <v>1057</v>
      </c>
      <c r="R123" s="52" t="s">
        <v>273</v>
      </c>
      <c r="S123" s="53" t="s">
        <v>946</v>
      </c>
      <c r="T123" s="52" t="s">
        <v>429</v>
      </c>
      <c r="W123" s="50" t="str">
        <f t="array" ref="W123">IF($V$2=0,"",IFERROR(INDEX($B$3:$C$520,SMALL(IF($B$3:$B$520=$V$2,ROW($B$3:$B$520)-2),ROW(B121)),2),""))</f>
        <v/>
      </c>
      <c r="AL123" s="87" t="str">
        <f t="array" ref="AL123">IF($AK$2=0,"",IFERROR(INDEX($N$3:$O$499,SMALL(IF($N$3:$N$499=$AK$2,ROW($N$3:$N$499)-2),ROW(N121)),2),""))</f>
        <v/>
      </c>
      <c r="AO123" s="36"/>
      <c r="AP123" s="80"/>
    </row>
    <row r="124" spans="2:42">
      <c r="B124" s="24" t="s">
        <v>272</v>
      </c>
      <c r="C124" s="24" t="s">
        <v>810</v>
      </c>
      <c r="E124" s="31"/>
      <c r="F124" s="31"/>
      <c r="H124" s="31"/>
      <c r="I124" s="271"/>
      <c r="K124" s="31"/>
      <c r="L124" s="271"/>
      <c r="N124" s="92" t="s">
        <v>384</v>
      </c>
      <c r="O124" s="92" t="s">
        <v>1045</v>
      </c>
      <c r="P124" s="93" t="s">
        <v>1057</v>
      </c>
      <c r="R124" s="52" t="s">
        <v>384</v>
      </c>
      <c r="S124" s="53" t="s">
        <v>893</v>
      </c>
      <c r="T124" s="52" t="s">
        <v>908</v>
      </c>
      <c r="W124" s="50" t="str">
        <f t="array" ref="W124">IF($V$2=0,"",IFERROR(INDEX($B$3:$C$520,SMALL(IF($B$3:$B$520=$V$2,ROW($B$3:$B$520)-2),ROW(B122)),2),""))</f>
        <v/>
      </c>
      <c r="AL124" s="87" t="str">
        <f t="array" ref="AL124">IF($AK$2=0,"",IFERROR(INDEX($N$3:$O$499,SMALL(IF($N$3:$N$499=$AK$2,ROW($N$3:$N$499)-2),ROW(N122)),2),""))</f>
        <v/>
      </c>
      <c r="AO124" s="36"/>
      <c r="AP124" s="80"/>
    </row>
    <row r="125" spans="2:42">
      <c r="B125" s="24" t="s">
        <v>272</v>
      </c>
      <c r="C125" s="24" t="s">
        <v>811</v>
      </c>
      <c r="E125" s="31"/>
      <c r="F125" s="31"/>
      <c r="H125" s="31"/>
      <c r="I125" s="271"/>
      <c r="K125" s="31"/>
      <c r="L125" s="271"/>
      <c r="N125" s="92" t="s">
        <v>384</v>
      </c>
      <c r="O125" s="92" t="s">
        <v>421</v>
      </c>
      <c r="P125" s="93" t="s">
        <v>1057</v>
      </c>
      <c r="R125" s="52" t="s">
        <v>384</v>
      </c>
      <c r="S125" s="53" t="s">
        <v>915</v>
      </c>
      <c r="T125" s="52" t="s">
        <v>908</v>
      </c>
      <c r="W125" s="50" t="str">
        <f t="array" ref="W125">IF($V$2=0,"",IFERROR(INDEX($B$3:$C$520,SMALL(IF($B$3:$B$520=$V$2,ROW($B$3:$B$520)-2),ROW(B123)),2),""))</f>
        <v/>
      </c>
      <c r="AL125" s="87" t="str">
        <f t="array" ref="AL125">IF($AK$2=0,"",IFERROR(INDEX($N$3:$O$499,SMALL(IF($N$3:$N$499=$AK$2,ROW($N$3:$N$499)-2),ROW(N123)),2),""))</f>
        <v/>
      </c>
      <c r="AO125" s="36"/>
      <c r="AP125" s="80"/>
    </row>
    <row r="126" spans="2:42">
      <c r="B126" s="24" t="s">
        <v>272</v>
      </c>
      <c r="C126" s="24" t="s">
        <v>812</v>
      </c>
      <c r="E126" s="31"/>
      <c r="F126" s="31"/>
      <c r="H126" s="31"/>
      <c r="I126" s="271"/>
      <c r="K126" s="31"/>
      <c r="L126" s="271"/>
      <c r="N126" s="92" t="s">
        <v>384</v>
      </c>
      <c r="O126" s="92" t="s">
        <v>422</v>
      </c>
      <c r="P126" s="93" t="s">
        <v>1057</v>
      </c>
      <c r="R126" s="52" t="s">
        <v>384</v>
      </c>
      <c r="S126" s="53" t="s">
        <v>918</v>
      </c>
      <c r="T126" s="52" t="s">
        <v>908</v>
      </c>
      <c r="W126" s="50" t="str">
        <f t="array" ref="W126">IF($V$2=0,"",IFERROR(INDEX($B$3:$C$520,SMALL(IF($B$3:$B$520=$V$2,ROW($B$3:$B$520)-2),ROW(B124)),2),""))</f>
        <v/>
      </c>
      <c r="AL126" s="87" t="str">
        <f t="array" ref="AL126">IF($AK$2=0,"",IFERROR(INDEX($N$3:$O$499,SMALL(IF($N$3:$N$499=$AK$2,ROW($N$3:$N$499)-2),ROW(N124)),2),""))</f>
        <v/>
      </c>
      <c r="AO126" s="36"/>
      <c r="AP126" s="80"/>
    </row>
    <row r="127" spans="2:42">
      <c r="B127" s="24" t="s">
        <v>272</v>
      </c>
      <c r="C127" s="24" t="s">
        <v>813</v>
      </c>
      <c r="H127" s="31"/>
      <c r="I127" s="271"/>
      <c r="K127" s="31"/>
      <c r="L127" s="271"/>
      <c r="N127" s="92" t="s">
        <v>384</v>
      </c>
      <c r="O127" s="92" t="s">
        <v>999</v>
      </c>
      <c r="P127" s="93" t="s">
        <v>1057</v>
      </c>
      <c r="R127" s="52" t="s">
        <v>384</v>
      </c>
      <c r="S127" s="53" t="s">
        <v>919</v>
      </c>
      <c r="T127" s="52" t="s">
        <v>908</v>
      </c>
      <c r="W127" s="50" t="str">
        <f t="array" ref="W127">IF($V$2=0,"",IFERROR(INDEX($B$3:$C$520,SMALL(IF($B$3:$B$520=$V$2,ROW($B$3:$B$520)-2),ROW(B125)),2),""))</f>
        <v/>
      </c>
      <c r="AL127" s="87" t="str">
        <f t="array" ref="AL127">IF($AK$2=0,"",IFERROR(INDEX($N$3:$O$499,SMALL(IF($N$3:$N$499=$AK$2,ROW($N$3:$N$499)-2),ROW(N125)),2),""))</f>
        <v/>
      </c>
      <c r="AO127" s="36"/>
      <c r="AP127" s="80"/>
    </row>
    <row r="128" spans="2:42">
      <c r="B128" s="24" t="s">
        <v>272</v>
      </c>
      <c r="C128" s="24" t="s">
        <v>814</v>
      </c>
      <c r="H128" s="31"/>
      <c r="I128" s="271"/>
      <c r="K128" s="31"/>
      <c r="L128" s="271"/>
      <c r="N128" s="92" t="s">
        <v>384</v>
      </c>
      <c r="O128" s="92" t="s">
        <v>1018</v>
      </c>
      <c r="P128" s="93" t="s">
        <v>1057</v>
      </c>
      <c r="R128" s="52" t="s">
        <v>384</v>
      </c>
      <c r="S128" s="53" t="s">
        <v>958</v>
      </c>
      <c r="T128" s="52" t="s">
        <v>908</v>
      </c>
      <c r="W128" s="50" t="str">
        <f t="array" ref="W128">IF($V$2=0,"",IFERROR(INDEX($B$3:$C$520,SMALL(IF($B$3:$B$520=$V$2,ROW($B$3:$B$520)-2),ROW(B126)),2),""))</f>
        <v/>
      </c>
      <c r="AL128" s="87" t="str">
        <f t="array" ref="AL128">IF($AK$2=0,"",IFERROR(INDEX($N$3:$O$499,SMALL(IF($N$3:$N$499=$AK$2,ROW($N$3:$N$499)-2),ROW(N126)),2),""))</f>
        <v/>
      </c>
      <c r="AO128" s="36"/>
      <c r="AP128" s="80"/>
    </row>
    <row r="129" spans="2:42">
      <c r="B129" s="24" t="s">
        <v>272</v>
      </c>
      <c r="C129" s="24" t="s">
        <v>815</v>
      </c>
      <c r="H129" s="31"/>
      <c r="I129" s="271"/>
      <c r="K129" s="31"/>
      <c r="L129" s="271"/>
      <c r="N129" s="92" t="s">
        <v>384</v>
      </c>
      <c r="O129" s="92" t="s">
        <v>400</v>
      </c>
      <c r="P129" s="93" t="s">
        <v>1057</v>
      </c>
      <c r="R129" s="52" t="s">
        <v>384</v>
      </c>
      <c r="S129" s="53" t="s">
        <v>959</v>
      </c>
      <c r="T129" s="52" t="s">
        <v>908</v>
      </c>
      <c r="W129" s="50" t="str">
        <f t="array" ref="W129">IF($V$2=0,"",IFERROR(INDEX($B$3:$C$520,SMALL(IF($B$3:$B$520=$V$2,ROW($B$3:$B$520)-2),ROW(B127)),2),""))</f>
        <v/>
      </c>
      <c r="AL129" s="87" t="str">
        <f t="array" ref="AL129">IF($AK$2=0,"",IFERROR(INDEX($N$3:$O$499,SMALL(IF($N$3:$N$499=$AK$2,ROW($N$3:$N$499)-2),ROW(N127)),2),""))</f>
        <v/>
      </c>
      <c r="AO129" s="36"/>
      <c r="AP129" s="80"/>
    </row>
    <row r="130" spans="2:42">
      <c r="B130" s="24" t="s">
        <v>272</v>
      </c>
      <c r="C130" s="24" t="s">
        <v>816</v>
      </c>
      <c r="H130" s="31"/>
      <c r="I130" s="271"/>
      <c r="K130" s="31"/>
      <c r="L130" s="271"/>
      <c r="N130" s="92" t="s">
        <v>384</v>
      </c>
      <c r="O130" s="92" t="s">
        <v>409</v>
      </c>
      <c r="P130" s="93" t="s">
        <v>1057</v>
      </c>
      <c r="R130" s="52" t="s">
        <v>384</v>
      </c>
      <c r="S130" s="53" t="s">
        <v>921</v>
      </c>
      <c r="T130" s="52" t="s">
        <v>908</v>
      </c>
      <c r="W130" s="50" t="str">
        <f t="array" ref="W130">IF($V$2=0,"",IFERROR(INDEX($B$3:$C$520,SMALL(IF($B$3:$B$520=$V$2,ROW($B$3:$B$520)-2),ROW(B128)),2),""))</f>
        <v/>
      </c>
      <c r="AL130" s="87" t="str">
        <f t="array" ref="AL130">IF($AK$2=0,"",IFERROR(INDEX($N$3:$O$499,SMALL(IF($N$3:$N$499=$AK$2,ROW($N$3:$N$499)-2),ROW(N128)),2),""))</f>
        <v/>
      </c>
      <c r="AO130" s="36"/>
      <c r="AP130" s="80"/>
    </row>
    <row r="131" spans="2:42">
      <c r="B131" s="24" t="s">
        <v>272</v>
      </c>
      <c r="C131" s="24" t="s">
        <v>817</v>
      </c>
      <c r="H131" s="31"/>
      <c r="I131" s="271"/>
      <c r="K131" s="31"/>
      <c r="L131" s="271"/>
      <c r="N131" s="92" t="s">
        <v>384</v>
      </c>
      <c r="O131" s="92" t="s">
        <v>419</v>
      </c>
      <c r="P131" s="93" t="s">
        <v>1057</v>
      </c>
      <c r="R131" s="52" t="s">
        <v>384</v>
      </c>
      <c r="S131" s="53" t="s">
        <v>932</v>
      </c>
      <c r="T131" s="52" t="s">
        <v>966</v>
      </c>
      <c r="W131" s="50" t="str">
        <f t="array" ref="W131">IF($V$2=0,"",IFERROR(INDEX($B$3:$C$520,SMALL(IF($B$3:$B$520=$V$2,ROW($B$3:$B$520)-2),ROW(B129)),2),""))</f>
        <v/>
      </c>
      <c r="AL131" s="87" t="str">
        <f t="array" ref="AL131">IF($AK$2=0,"",IFERROR(INDEX($N$3:$O$499,SMALL(IF($N$3:$N$499=$AK$2,ROW($N$3:$N$499)-2),ROW(N129)),2),""))</f>
        <v/>
      </c>
      <c r="AO131" s="36"/>
      <c r="AP131" s="80"/>
    </row>
    <row r="132" spans="2:42">
      <c r="B132" s="24" t="s">
        <v>272</v>
      </c>
      <c r="C132" s="24" t="s">
        <v>818</v>
      </c>
      <c r="H132" s="31"/>
      <c r="I132" s="271"/>
      <c r="K132" s="31"/>
      <c r="L132" s="271"/>
      <c r="N132" s="92" t="s">
        <v>384</v>
      </c>
      <c r="O132" s="92" t="s">
        <v>1046</v>
      </c>
      <c r="P132" s="93" t="s">
        <v>1057</v>
      </c>
      <c r="R132" s="52" t="s">
        <v>384</v>
      </c>
      <c r="S132" s="53" t="s">
        <v>927</v>
      </c>
      <c r="T132" s="52" t="s">
        <v>966</v>
      </c>
      <c r="W132" s="50" t="str">
        <f t="array" ref="W132">IF($V$2=0,"",IFERROR(INDEX($B$3:$C$520,SMALL(IF($B$3:$B$520=$V$2,ROW($B$3:$B$520)-2),ROW(B130)),2),""))</f>
        <v/>
      </c>
      <c r="AL132" s="87" t="str">
        <f t="array" ref="AL132">IF($AK$2=0,"",IFERROR(INDEX($N$3:$O$499,SMALL(IF($N$3:$N$499=$AK$2,ROW($N$3:$N$499)-2),ROW(N130)),2),""))</f>
        <v/>
      </c>
      <c r="AO132" s="36"/>
      <c r="AP132" s="80"/>
    </row>
    <row r="133" spans="2:42">
      <c r="B133" s="24" t="s">
        <v>272</v>
      </c>
      <c r="C133" s="24" t="s">
        <v>819</v>
      </c>
      <c r="H133" s="31"/>
      <c r="I133" s="271"/>
      <c r="K133" s="31"/>
      <c r="L133" s="271"/>
      <c r="N133" s="92" t="s">
        <v>384</v>
      </c>
      <c r="O133" s="92" t="s">
        <v>800</v>
      </c>
      <c r="P133" s="93" t="s">
        <v>1057</v>
      </c>
      <c r="R133" s="52" t="s">
        <v>384</v>
      </c>
      <c r="S133" s="53" t="s">
        <v>936</v>
      </c>
      <c r="T133" s="52" t="s">
        <v>966</v>
      </c>
      <c r="W133" s="50" t="str">
        <f t="array" ref="W133">IF($V$2=0,"",IFERROR(INDEX($B$3:$C$520,SMALL(IF($B$3:$B$520=$V$2,ROW($B$3:$B$520)-2),ROW(B131)),2),""))</f>
        <v/>
      </c>
      <c r="AL133" s="87" t="str">
        <f t="array" ref="AL133">IF($AK$2=0,"",IFERROR(INDEX($N$3:$O$499,SMALL(IF($N$3:$N$499=$AK$2,ROW($N$3:$N$499)-2),ROW(N131)),2),""))</f>
        <v/>
      </c>
      <c r="AO133" s="36"/>
      <c r="AP133" s="80"/>
    </row>
    <row r="134" spans="2:42">
      <c r="B134" s="24" t="s">
        <v>272</v>
      </c>
      <c r="C134" s="24" t="s">
        <v>820</v>
      </c>
      <c r="H134" s="31"/>
      <c r="I134" s="271"/>
      <c r="K134" s="31"/>
      <c r="L134" s="271"/>
      <c r="N134" s="92" t="s">
        <v>384</v>
      </c>
      <c r="O134" s="92" t="s">
        <v>401</v>
      </c>
      <c r="P134" s="93" t="s">
        <v>1057</v>
      </c>
      <c r="R134" s="52" t="s">
        <v>384</v>
      </c>
      <c r="S134" s="53" t="s">
        <v>928</v>
      </c>
      <c r="T134" s="52" t="s">
        <v>966</v>
      </c>
      <c r="W134" s="50" t="str">
        <f t="array" ref="W134">IF($V$2=0,"",IFERROR(INDEX($B$3:$C$520,SMALL(IF($B$3:$B$520=$V$2,ROW($B$3:$B$520)-2),ROW(B132)),2),""))</f>
        <v/>
      </c>
      <c r="AL134" s="87" t="str">
        <f t="array" ref="AL134">IF($AK$2=0,"",IFERROR(INDEX($N$3:$O$499,SMALL(IF($N$3:$N$499=$AK$2,ROW($N$3:$N$499)-2),ROW(N132)),2),""))</f>
        <v/>
      </c>
      <c r="AO134" s="36"/>
      <c r="AP134" s="80"/>
    </row>
    <row r="135" spans="2:42">
      <c r="B135" s="24" t="s">
        <v>272</v>
      </c>
      <c r="C135" s="24" t="s">
        <v>821</v>
      </c>
      <c r="H135" s="31"/>
      <c r="I135" s="271"/>
      <c r="K135" s="31"/>
      <c r="L135" s="271"/>
      <c r="N135" s="92" t="s">
        <v>384</v>
      </c>
      <c r="O135" s="92" t="s">
        <v>410</v>
      </c>
      <c r="P135" s="93" t="s">
        <v>1057</v>
      </c>
      <c r="R135" s="52" t="s">
        <v>384</v>
      </c>
      <c r="S135" s="53" t="s">
        <v>926</v>
      </c>
      <c r="T135" s="52" t="s">
        <v>966</v>
      </c>
      <c r="W135" s="50" t="str">
        <f t="array" ref="W135">IF($V$2=0,"",IFERROR(INDEX($B$3:$C$520,SMALL(IF($B$3:$B$520=$V$2,ROW($B$3:$B$520)-2),ROW(B133)),2),""))</f>
        <v/>
      </c>
      <c r="AL135" s="87" t="str">
        <f t="array" ref="AL135">IF($AK$2=0,"",IFERROR(INDEX($N$3:$O$499,SMALL(IF($N$3:$N$499=$AK$2,ROW($N$3:$N$499)-2),ROW(N133)),2),""))</f>
        <v/>
      </c>
      <c r="AO135" s="36"/>
      <c r="AP135" s="80"/>
    </row>
    <row r="136" spans="2:42">
      <c r="B136" s="24" t="s">
        <v>272</v>
      </c>
      <c r="C136" s="24" t="s">
        <v>822</v>
      </c>
      <c r="H136" s="31"/>
      <c r="I136" s="271"/>
      <c r="K136" s="31"/>
      <c r="L136" s="271"/>
      <c r="N136" s="92" t="s">
        <v>384</v>
      </c>
      <c r="O136" s="92" t="s">
        <v>403</v>
      </c>
      <c r="P136" s="93" t="s">
        <v>1057</v>
      </c>
      <c r="R136" s="52" t="s">
        <v>384</v>
      </c>
      <c r="S136" s="53" t="s">
        <v>937</v>
      </c>
      <c r="T136" s="52" t="s">
        <v>966</v>
      </c>
      <c r="W136" s="50" t="str">
        <f t="array" ref="W136">IF($V$2=0,"",IFERROR(INDEX($B$3:$C$520,SMALL(IF($B$3:$B$520=$V$2,ROW($B$3:$B$520)-2),ROW(B134)),2),""))</f>
        <v/>
      </c>
      <c r="AL136" s="87" t="str">
        <f t="array" ref="AL136">IF($AK$2=0,"",IFERROR(INDEX($N$3:$O$499,SMALL(IF($N$3:$N$499=$AK$2,ROW($N$3:$N$499)-2),ROW(N134)),2),""))</f>
        <v/>
      </c>
      <c r="AO136" s="36"/>
      <c r="AP136" s="80"/>
    </row>
    <row r="137" spans="2:42">
      <c r="B137" s="24" t="s">
        <v>272</v>
      </c>
      <c r="C137" s="24" t="s">
        <v>823</v>
      </c>
      <c r="H137" s="31"/>
      <c r="I137" s="271"/>
      <c r="K137" s="31"/>
      <c r="L137" s="271"/>
      <c r="N137" s="92" t="s">
        <v>384</v>
      </c>
      <c r="O137" s="92" t="s">
        <v>423</v>
      </c>
      <c r="P137" s="93" t="s">
        <v>1057</v>
      </c>
      <c r="R137" s="52" t="s">
        <v>384</v>
      </c>
      <c r="S137" s="53" t="s">
        <v>939</v>
      </c>
      <c r="T137" s="52" t="s">
        <v>911</v>
      </c>
      <c r="W137" s="50" t="str">
        <f t="array" ref="W137">IF($V$2=0,"",IFERROR(INDEX($B$3:$C$520,SMALL(IF($B$3:$B$520=$V$2,ROW($B$3:$B$520)-2),ROW(B135)),2),""))</f>
        <v/>
      </c>
      <c r="AL137" s="87" t="str">
        <f t="array" ref="AL137">IF($AK$2=0,"",IFERROR(INDEX($N$3:$O$499,SMALL(IF($N$3:$N$499=$AK$2,ROW($N$3:$N$499)-2),ROW(N135)),2),""))</f>
        <v/>
      </c>
      <c r="AO137" s="36"/>
      <c r="AP137" s="80"/>
    </row>
    <row r="138" spans="2:42">
      <c r="B138" s="24" t="s">
        <v>272</v>
      </c>
      <c r="C138" s="24" t="s">
        <v>824</v>
      </c>
      <c r="H138" s="31"/>
      <c r="I138" s="271"/>
      <c r="K138" s="31"/>
      <c r="L138" s="271"/>
      <c r="N138" s="92" t="s">
        <v>384</v>
      </c>
      <c r="O138" s="92" t="s">
        <v>424</v>
      </c>
      <c r="P138" s="93" t="s">
        <v>1057</v>
      </c>
      <c r="R138" s="52" t="s">
        <v>384</v>
      </c>
      <c r="S138" s="53" t="s">
        <v>940</v>
      </c>
      <c r="T138" s="52" t="s">
        <v>911</v>
      </c>
      <c r="W138" s="50" t="str">
        <f t="array" ref="W138">IF($V$2=0,"",IFERROR(INDEX($B$3:$C$520,SMALL(IF($B$3:$B$520=$V$2,ROW($B$3:$B$520)-2),ROW(B136)),2),""))</f>
        <v/>
      </c>
      <c r="AL138" s="87" t="str">
        <f t="array" ref="AL138">IF($AK$2=0,"",IFERROR(INDEX($N$3:$O$499,SMALL(IF($N$3:$N$499=$AK$2,ROW($N$3:$N$499)-2),ROW(N136)),2),""))</f>
        <v/>
      </c>
      <c r="AO138" s="36"/>
      <c r="AP138" s="80"/>
    </row>
    <row r="139" spans="2:42">
      <c r="B139" s="24" t="s">
        <v>272</v>
      </c>
      <c r="C139" s="24" t="s">
        <v>825</v>
      </c>
      <c r="H139" s="31"/>
      <c r="I139" s="271"/>
      <c r="K139" s="31"/>
      <c r="L139" s="271"/>
      <c r="N139" s="92" t="s">
        <v>384</v>
      </c>
      <c r="O139" s="92" t="s">
        <v>995</v>
      </c>
      <c r="P139" s="93" t="s">
        <v>1057</v>
      </c>
      <c r="R139" s="52" t="s">
        <v>384</v>
      </c>
      <c r="S139" s="53" t="s">
        <v>941</v>
      </c>
      <c r="T139" s="52" t="s">
        <v>911</v>
      </c>
      <c r="W139" s="50" t="str">
        <f t="array" ref="W139">IF($V$2=0,"",IFERROR(INDEX($B$3:$C$520,SMALL(IF($B$3:$B$520=$V$2,ROW($B$3:$B$520)-2),ROW(B137)),2),""))</f>
        <v/>
      </c>
      <c r="AL139" s="87" t="str">
        <f t="array" ref="AL139">IF($AK$2=0,"",IFERROR(INDEX($N$3:$O$499,SMALL(IF($N$3:$N$499=$AK$2,ROW($N$3:$N$499)-2),ROW(N137)),2),""))</f>
        <v/>
      </c>
      <c r="AO139" s="36"/>
      <c r="AP139" s="80"/>
    </row>
    <row r="140" spans="2:42">
      <c r="B140" s="24" t="s">
        <v>272</v>
      </c>
      <c r="C140" s="24" t="s">
        <v>844</v>
      </c>
      <c r="H140" s="31"/>
      <c r="I140" s="271"/>
      <c r="K140" s="31"/>
      <c r="L140" s="271"/>
      <c r="N140" s="92" t="s">
        <v>384</v>
      </c>
      <c r="O140" s="92" t="s">
        <v>397</v>
      </c>
      <c r="P140" s="93" t="s">
        <v>1057</v>
      </c>
      <c r="R140" s="52" t="s">
        <v>384</v>
      </c>
      <c r="S140" s="53" t="s">
        <v>905</v>
      </c>
      <c r="T140" s="52" t="s">
        <v>912</v>
      </c>
      <c r="W140" s="50" t="str">
        <f t="array" ref="W140">IF($V$2=0,"",IFERROR(INDEX($B$3:$C$520,SMALL(IF($B$3:$B$520=$V$2,ROW($B$3:$B$520)-2),ROW(B138)),2),""))</f>
        <v/>
      </c>
      <c r="AL140" s="87" t="str">
        <f t="array" ref="AL140">IF($AK$2=0,"",IFERROR(INDEX($N$3:$O$499,SMALL(IF($N$3:$N$499=$AK$2,ROW($N$3:$N$499)-2),ROW(N138)),2),""))</f>
        <v/>
      </c>
      <c r="AO140" s="36"/>
      <c r="AP140" s="80"/>
    </row>
    <row r="141" spans="2:42">
      <c r="B141" s="24" t="s">
        <v>272</v>
      </c>
      <c r="C141" s="24" t="s">
        <v>845</v>
      </c>
      <c r="H141" s="31"/>
      <c r="I141" s="271"/>
      <c r="K141" s="31"/>
      <c r="L141" s="271"/>
      <c r="N141" s="92" t="s">
        <v>384</v>
      </c>
      <c r="O141" s="92" t="s">
        <v>420</v>
      </c>
      <c r="P141" s="93" t="s">
        <v>1057</v>
      </c>
      <c r="R141" s="52" t="s">
        <v>384</v>
      </c>
      <c r="S141" s="53" t="s">
        <v>200</v>
      </c>
      <c r="T141" s="52" t="s">
        <v>912</v>
      </c>
      <c r="W141" s="50" t="str">
        <f t="array" ref="W141">IF($V$2=0,"",IFERROR(INDEX($B$3:$C$520,SMALL(IF($B$3:$B$520=$V$2,ROW($B$3:$B$520)-2),ROW(B139)),2),""))</f>
        <v/>
      </c>
      <c r="AL141" s="87" t="str">
        <f t="array" ref="AL141">IF($AK$2=0,"",IFERROR(INDEX($N$3:$O$499,SMALL(IF($N$3:$N$499=$AK$2,ROW($N$3:$N$499)-2),ROW(N139)),2),""))</f>
        <v/>
      </c>
      <c r="AO141" s="36"/>
      <c r="AP141" s="80"/>
    </row>
    <row r="142" spans="2:42">
      <c r="B142" s="24" t="s">
        <v>272</v>
      </c>
      <c r="C142" s="24" t="s">
        <v>846</v>
      </c>
      <c r="H142" s="31"/>
      <c r="I142" s="271"/>
      <c r="K142" s="31"/>
      <c r="L142" s="271"/>
      <c r="N142" s="92" t="s">
        <v>384</v>
      </c>
      <c r="O142" s="92" t="s">
        <v>799</v>
      </c>
      <c r="P142" s="93" t="s">
        <v>1057</v>
      </c>
      <c r="R142" s="52" t="s">
        <v>384</v>
      </c>
      <c r="S142" s="53" t="s">
        <v>906</v>
      </c>
      <c r="T142" s="52" t="s">
        <v>912</v>
      </c>
      <c r="W142" s="50" t="str">
        <f t="array" ref="W142">IF($V$2=0,"",IFERROR(INDEX($B$3:$C$520,SMALL(IF($B$3:$B$520=$V$2,ROW($B$3:$B$520)-2),ROW(B140)),2),""))</f>
        <v/>
      </c>
      <c r="AL142" s="87" t="str">
        <f t="array" ref="AL142">IF($AK$2=0,"",IFERROR(INDEX($N$3:$O$499,SMALL(IF($N$3:$N$499=$AK$2,ROW($N$3:$N$499)-2),ROW(N140)),2),""))</f>
        <v/>
      </c>
      <c r="AO142" s="36"/>
      <c r="AP142" s="80"/>
    </row>
    <row r="143" spans="2:42">
      <c r="B143" s="24" t="s">
        <v>272</v>
      </c>
      <c r="C143" s="24" t="s">
        <v>847</v>
      </c>
      <c r="H143" s="31"/>
      <c r="I143" s="271"/>
      <c r="K143" s="31"/>
      <c r="L143" s="271"/>
      <c r="N143" s="92" t="s">
        <v>384</v>
      </c>
      <c r="O143" s="92" t="s">
        <v>839</v>
      </c>
      <c r="P143" s="93" t="s">
        <v>1057</v>
      </c>
      <c r="R143" s="52" t="s">
        <v>384</v>
      </c>
      <c r="S143" s="53" t="s">
        <v>943</v>
      </c>
      <c r="T143" s="52" t="s">
        <v>912</v>
      </c>
      <c r="W143" s="50" t="str">
        <f t="array" ref="W143">IF($V$2=0,"",IFERROR(INDEX($B$3:$C$520,SMALL(IF($B$3:$B$520=$V$2,ROW($B$3:$B$520)-2),ROW(B141)),2),""))</f>
        <v/>
      </c>
      <c r="AL143" s="87" t="str">
        <f t="array" ref="AL143">IF($AK$2=0,"",IFERROR(INDEX($N$3:$O$499,SMALL(IF($N$3:$N$499=$AK$2,ROW($N$3:$N$499)-2),ROW(N141)),2),""))</f>
        <v/>
      </c>
      <c r="AO143" s="36"/>
      <c r="AP143" s="80"/>
    </row>
    <row r="144" spans="2:42">
      <c r="B144" s="24" t="s">
        <v>272</v>
      </c>
      <c r="C144" s="24" t="s">
        <v>848</v>
      </c>
      <c r="H144" s="31"/>
      <c r="I144" s="271"/>
      <c r="K144" s="31"/>
      <c r="L144" s="271"/>
      <c r="N144" s="92" t="s">
        <v>384</v>
      </c>
      <c r="O144" s="92" t="s">
        <v>840</v>
      </c>
      <c r="P144" s="93" t="s">
        <v>1057</v>
      </c>
      <c r="R144" s="52" t="s">
        <v>384</v>
      </c>
      <c r="S144" s="53" t="s">
        <v>901</v>
      </c>
      <c r="T144" s="52" t="s">
        <v>429</v>
      </c>
      <c r="W144" s="50" t="str">
        <f t="array" ref="W144">IF($V$2=0,"",IFERROR(INDEX($B$3:$C$520,SMALL(IF($B$3:$B$520=$V$2,ROW($B$3:$B$520)-2),ROW(B142)),2),""))</f>
        <v/>
      </c>
      <c r="AL144" s="87" t="str">
        <f t="array" ref="AL144">IF($AK$2=0,"",IFERROR(INDEX($N$3:$O$499,SMALL(IF($N$3:$N$499=$AK$2,ROW($N$3:$N$499)-2),ROW(N142)),2),""))</f>
        <v/>
      </c>
      <c r="AO144" s="36"/>
      <c r="AP144" s="80"/>
    </row>
    <row r="145" spans="2:42">
      <c r="B145" s="24" t="s">
        <v>272</v>
      </c>
      <c r="C145" s="24" t="s">
        <v>849</v>
      </c>
      <c r="H145" s="31"/>
      <c r="I145" s="271"/>
      <c r="K145" s="31"/>
      <c r="L145" s="271"/>
      <c r="N145" s="92" t="s">
        <v>753</v>
      </c>
      <c r="O145" s="92" t="s">
        <v>996</v>
      </c>
      <c r="P145" s="93" t="s">
        <v>1057</v>
      </c>
      <c r="R145" s="52" t="s">
        <v>384</v>
      </c>
      <c r="S145" s="53" t="s">
        <v>907</v>
      </c>
      <c r="T145" s="52" t="s">
        <v>429</v>
      </c>
      <c r="W145" s="50" t="str">
        <f t="array" ref="W145">IF($V$2=0,"",IFERROR(INDEX($B$3:$C$520,SMALL(IF($B$3:$B$520=$V$2,ROW($B$3:$B$520)-2),ROW(B143)),2),""))</f>
        <v/>
      </c>
      <c r="AL145" s="87" t="str">
        <f t="array" ref="AL145">IF($AK$2=0,"",IFERROR(INDEX($N$3:$O$499,SMALL(IF($N$3:$N$499=$AK$2,ROW($N$3:$N$499)-2),ROW(N143)),2),""))</f>
        <v/>
      </c>
      <c r="AO145" s="36"/>
      <c r="AP145" s="80"/>
    </row>
    <row r="146" spans="2:42">
      <c r="B146" s="24" t="s">
        <v>272</v>
      </c>
      <c r="C146" s="24" t="s">
        <v>850</v>
      </c>
      <c r="H146" s="31"/>
      <c r="I146" s="271"/>
      <c r="K146" s="31"/>
      <c r="L146" s="271"/>
      <c r="N146" s="92" t="s">
        <v>753</v>
      </c>
      <c r="O146" s="92" t="s">
        <v>997</v>
      </c>
      <c r="P146" s="93" t="s">
        <v>1057</v>
      </c>
      <c r="R146" s="52" t="s">
        <v>384</v>
      </c>
      <c r="S146" s="53" t="s">
        <v>945</v>
      </c>
      <c r="T146" s="52" t="s">
        <v>429</v>
      </c>
      <c r="W146" s="50" t="str">
        <f t="array" ref="W146">IF($V$2=0,"",IFERROR(INDEX($B$3:$C$520,SMALL(IF($B$3:$B$520=$V$2,ROW($B$3:$B$520)-2),ROW(B144)),2),""))</f>
        <v/>
      </c>
      <c r="AL146" s="87" t="str">
        <f t="array" ref="AL146">IF($AK$2=0,"",IFERROR(INDEX($N$3:$O$499,SMALL(IF($N$3:$N$499=$AK$2,ROW($N$3:$N$499)-2),ROW(N144)),2),""))</f>
        <v/>
      </c>
      <c r="AO146" s="36"/>
      <c r="AP146" s="80"/>
    </row>
    <row r="147" spans="2:42">
      <c r="B147" s="24" t="s">
        <v>272</v>
      </c>
      <c r="C147" s="24" t="s">
        <v>269</v>
      </c>
      <c r="H147" s="31"/>
      <c r="I147" s="271"/>
      <c r="K147" s="31"/>
      <c r="L147" s="271"/>
      <c r="N147" s="92" t="s">
        <v>384</v>
      </c>
      <c r="O147" s="92" t="s">
        <v>416</v>
      </c>
      <c r="P147" s="93" t="s">
        <v>1057</v>
      </c>
      <c r="R147" s="52" t="s">
        <v>384</v>
      </c>
      <c r="S147" s="53" t="s">
        <v>436</v>
      </c>
      <c r="T147" s="52" t="s">
        <v>429</v>
      </c>
      <c r="W147" s="50" t="str">
        <f t="array" ref="W147">IF($V$2=0,"",IFERROR(INDEX($B$3:$C$520,SMALL(IF($B$3:$B$520=$V$2,ROW($B$3:$B$520)-2),ROW(B145)),2),""))</f>
        <v/>
      </c>
      <c r="AL147" s="87" t="str">
        <f t="array" ref="AL147">IF($AK$2=0,"",IFERROR(INDEX($N$3:$O$499,SMALL(IF($N$3:$N$499=$AK$2,ROW($N$3:$N$499)-2),ROW(N145)),2),""))</f>
        <v/>
      </c>
      <c r="AO147" s="36"/>
      <c r="AP147" s="80"/>
    </row>
    <row r="148" spans="2:42">
      <c r="B148" s="24" t="s">
        <v>272</v>
      </c>
      <c r="C148" s="24" t="s">
        <v>270</v>
      </c>
      <c r="H148" s="31"/>
      <c r="I148" s="271"/>
      <c r="K148" s="31"/>
      <c r="L148" s="271"/>
      <c r="N148" s="92" t="s">
        <v>384</v>
      </c>
      <c r="O148" s="92" t="s">
        <v>417</v>
      </c>
      <c r="P148" s="93" t="s">
        <v>1057</v>
      </c>
      <c r="R148" s="52" t="s">
        <v>384</v>
      </c>
      <c r="S148" s="53" t="s">
        <v>946</v>
      </c>
      <c r="T148" s="52" t="s">
        <v>429</v>
      </c>
      <c r="W148" s="50" t="str">
        <f t="array" ref="W148">IF($V$2=0,"",IFERROR(INDEX($B$3:$C$520,SMALL(IF($B$3:$B$520=$V$2,ROW($B$3:$B$520)-2),ROW(B146)),2),""))</f>
        <v/>
      </c>
      <c r="AL148" s="87" t="str">
        <f t="array" ref="AL148">IF($AK$2=0,"",IFERROR(INDEX($N$3:$O$499,SMALL(IF($N$3:$N$499=$AK$2,ROW($N$3:$N$499)-2),ROW(N146)),2),""))</f>
        <v/>
      </c>
      <c r="AO148" s="36"/>
      <c r="AP148" s="80"/>
    </row>
    <row r="149" spans="2:42">
      <c r="B149" s="24" t="s">
        <v>272</v>
      </c>
      <c r="C149" s="24" t="s">
        <v>271</v>
      </c>
      <c r="H149" s="31"/>
      <c r="I149" s="271"/>
      <c r="K149" s="31"/>
      <c r="L149" s="271"/>
      <c r="N149" s="92" t="s">
        <v>384</v>
      </c>
      <c r="O149" s="92" t="s">
        <v>398</v>
      </c>
      <c r="P149" s="93" t="s">
        <v>1058</v>
      </c>
      <c r="R149" s="52" t="s">
        <v>92</v>
      </c>
      <c r="S149" s="53" t="s">
        <v>893</v>
      </c>
      <c r="T149" s="52" t="s">
        <v>908</v>
      </c>
      <c r="W149" s="50" t="str">
        <f t="array" ref="W149">IF($V$2=0,"",IFERROR(INDEX($B$3:$C$520,SMALL(IF($B$3:$B$520=$V$2,ROW($B$3:$B$520)-2),ROW(B147)),2),""))</f>
        <v/>
      </c>
      <c r="AL149" s="87" t="str">
        <f t="array" ref="AL149">IF($AK$2=0,"",IFERROR(INDEX($N$3:$O$499,SMALL(IF($N$3:$N$499=$AK$2,ROW($N$3:$N$499)-2),ROW(N147)),2),""))</f>
        <v/>
      </c>
      <c r="AO149" s="36"/>
      <c r="AP149" s="80"/>
    </row>
    <row r="150" spans="2:42">
      <c r="B150" s="24" t="s">
        <v>321</v>
      </c>
      <c r="C150" s="24" t="s">
        <v>239</v>
      </c>
      <c r="H150" s="31"/>
      <c r="I150" s="271"/>
      <c r="K150" s="31"/>
      <c r="L150" s="271"/>
      <c r="N150" s="92" t="s">
        <v>384</v>
      </c>
      <c r="O150" s="92" t="s">
        <v>415</v>
      </c>
      <c r="P150" s="93" t="s">
        <v>1058</v>
      </c>
      <c r="R150" s="52" t="s">
        <v>92</v>
      </c>
      <c r="S150" s="53" t="s">
        <v>915</v>
      </c>
      <c r="T150" s="52" t="s">
        <v>908</v>
      </c>
      <c r="W150" s="50" t="str">
        <f t="array" ref="W150">IF($V$2=0,"",IFERROR(INDEX($B$3:$C$520,SMALL(IF($B$3:$B$520=$V$2,ROW($B$3:$B$520)-2),ROW(B148)),2),""))</f>
        <v/>
      </c>
      <c r="AL150" s="87" t="str">
        <f t="array" ref="AL150">IF($AK$2=0,"",IFERROR(INDEX($N$3:$O$499,SMALL(IF($N$3:$N$499=$AK$2,ROW($N$3:$N$499)-2),ROW(N148)),2),""))</f>
        <v/>
      </c>
      <c r="AO150" s="36"/>
      <c r="AP150" s="80"/>
    </row>
    <row r="151" spans="2:42">
      <c r="B151" s="24" t="s">
        <v>321</v>
      </c>
      <c r="C151" s="24" t="s">
        <v>240</v>
      </c>
      <c r="H151" s="31"/>
      <c r="I151" s="271"/>
      <c r="K151" s="31"/>
      <c r="L151" s="271"/>
      <c r="N151" s="92" t="s">
        <v>753</v>
      </c>
      <c r="O151" s="92" t="s">
        <v>998</v>
      </c>
      <c r="P151" s="93" t="s">
        <v>1057</v>
      </c>
      <c r="R151" s="52" t="s">
        <v>92</v>
      </c>
      <c r="S151" s="53" t="s">
        <v>918</v>
      </c>
      <c r="T151" s="52" t="s">
        <v>908</v>
      </c>
      <c r="W151" s="50" t="str">
        <f t="array" ref="W151">IF($V$2=0,"",IFERROR(INDEX($B$3:$C$520,SMALL(IF($B$3:$B$520=$V$2,ROW($B$3:$B$520)-2),ROW(B149)),2),""))</f>
        <v/>
      </c>
      <c r="AL151" s="87" t="str">
        <f t="array" ref="AL151">IF($AK$2=0,"",IFERROR(INDEX($N$3:$O$499,SMALL(IF($N$3:$N$499=$AK$2,ROW($N$3:$N$499)-2),ROW(N149)),2),""))</f>
        <v/>
      </c>
      <c r="AO151" s="36"/>
      <c r="AP151" s="80"/>
    </row>
    <row r="152" spans="2:42">
      <c r="B152" s="24" t="s">
        <v>321</v>
      </c>
      <c r="C152" s="24" t="s">
        <v>241</v>
      </c>
      <c r="H152" s="31"/>
      <c r="I152" s="271"/>
      <c r="K152" s="31"/>
      <c r="L152" s="271"/>
      <c r="N152" s="92" t="s">
        <v>384</v>
      </c>
      <c r="O152" s="92" t="s">
        <v>405</v>
      </c>
      <c r="P152" s="93" t="s">
        <v>1057</v>
      </c>
      <c r="R152" s="52" t="s">
        <v>92</v>
      </c>
      <c r="S152" s="53" t="s">
        <v>919</v>
      </c>
      <c r="T152" s="52" t="s">
        <v>908</v>
      </c>
      <c r="W152" s="50" t="str">
        <f t="array" ref="W152">IF($V$2=0,"",IFERROR(INDEX($B$3:$C$520,SMALL(IF($B$3:$B$520=$V$2,ROW($B$3:$B$520)-2),ROW(B150)),2),""))</f>
        <v/>
      </c>
      <c r="AL152" s="87" t="str">
        <f t="array" ref="AL152">IF($AK$2=0,"",IFERROR(INDEX($N$3:$O$499,SMALL(IF($N$3:$N$499=$AK$2,ROW($N$3:$N$499)-2),ROW(N150)),2),""))</f>
        <v/>
      </c>
      <c r="AO152" s="36"/>
      <c r="AP152" s="80"/>
    </row>
    <row r="153" spans="2:42">
      <c r="B153" s="24" t="s">
        <v>321</v>
      </c>
      <c r="C153" s="24" t="s">
        <v>242</v>
      </c>
      <c r="H153" s="31"/>
      <c r="I153" s="271"/>
      <c r="K153" s="31"/>
      <c r="L153" s="271"/>
      <c r="N153" s="92" t="s">
        <v>384</v>
      </c>
      <c r="O153" s="92" t="s">
        <v>406</v>
      </c>
      <c r="P153" s="93" t="s">
        <v>1057</v>
      </c>
      <c r="R153" s="52" t="s">
        <v>92</v>
      </c>
      <c r="S153" s="53" t="s">
        <v>921</v>
      </c>
      <c r="T153" s="52" t="s">
        <v>908</v>
      </c>
      <c r="W153" s="50" t="str">
        <f t="array" ref="W153">IF($V$2=0,"",IFERROR(INDEX($B$3:$C$520,SMALL(IF($B$3:$B$520=$V$2,ROW($B$3:$B$520)-2),ROW(B151)),2),""))</f>
        <v/>
      </c>
      <c r="AL153" s="87" t="str">
        <f t="array" ref="AL153">IF($AK$2=0,"",IFERROR(INDEX($N$3:$O$499,SMALL(IF($N$3:$N$499=$AK$2,ROW($N$3:$N$499)-2),ROW(N151)),2),""))</f>
        <v/>
      </c>
      <c r="AO153" s="36"/>
      <c r="AP153" s="80"/>
    </row>
    <row r="154" spans="2:42">
      <c r="B154" s="24" t="s">
        <v>321</v>
      </c>
      <c r="C154" s="24" t="s">
        <v>243</v>
      </c>
      <c r="H154" s="31"/>
      <c r="I154" s="271"/>
      <c r="K154" s="31"/>
      <c r="L154" s="271"/>
      <c r="N154" s="92" t="s">
        <v>384</v>
      </c>
      <c r="O154" s="92" t="s">
        <v>411</v>
      </c>
      <c r="P154" s="93" t="s">
        <v>1057</v>
      </c>
      <c r="R154" s="52" t="s">
        <v>92</v>
      </c>
      <c r="S154" s="53" t="s">
        <v>932</v>
      </c>
      <c r="T154" s="52" t="s">
        <v>966</v>
      </c>
      <c r="W154" s="50" t="str">
        <f t="array" ref="W154">IF($V$2=0,"",IFERROR(INDEX($B$3:$C$520,SMALL(IF($B$3:$B$520=$V$2,ROW($B$3:$B$520)-2),ROW(B152)),2),""))</f>
        <v/>
      </c>
      <c r="AL154" s="87" t="str">
        <f t="array" ref="AL154">IF($AK$2=0,"",IFERROR(INDEX($N$3:$O$499,SMALL(IF($N$3:$N$499=$AK$2,ROW($N$3:$N$499)-2),ROW(N152)),2),""))</f>
        <v/>
      </c>
      <c r="AO154" s="36"/>
      <c r="AP154" s="80"/>
    </row>
    <row r="155" spans="2:42">
      <c r="B155" s="24" t="s">
        <v>321</v>
      </c>
      <c r="C155" s="24" t="s">
        <v>244</v>
      </c>
      <c r="H155" s="31"/>
      <c r="I155" s="271"/>
      <c r="K155" s="31"/>
      <c r="L155" s="271"/>
      <c r="N155" s="92" t="s">
        <v>384</v>
      </c>
      <c r="O155" s="92" t="s">
        <v>413</v>
      </c>
      <c r="P155" s="93" t="s">
        <v>1057</v>
      </c>
      <c r="R155" s="52" t="s">
        <v>92</v>
      </c>
      <c r="S155" s="53" t="s">
        <v>927</v>
      </c>
      <c r="T155" s="52" t="s">
        <v>966</v>
      </c>
      <c r="W155" s="50" t="str">
        <f t="array" ref="W155">IF($V$2=0,"",IFERROR(INDEX($B$3:$C$520,SMALL(IF($B$3:$B$520=$V$2,ROW($B$3:$B$520)-2),ROW(B153)),2),""))</f>
        <v/>
      </c>
      <c r="AL155" s="87" t="str">
        <f t="array" ref="AL155">IF($AK$2=0,"",IFERROR(INDEX($N$3:$O$499,SMALL(IF($N$3:$N$499=$AK$2,ROW($N$3:$N$499)-2),ROW(N153)),2),""))</f>
        <v/>
      </c>
      <c r="AO155" s="36"/>
      <c r="AP155" s="80"/>
    </row>
    <row r="156" spans="2:42">
      <c r="B156" s="24" t="s">
        <v>321</v>
      </c>
      <c r="C156" s="24" t="s">
        <v>380</v>
      </c>
      <c r="H156" s="31"/>
      <c r="I156" s="271"/>
      <c r="K156" s="31"/>
      <c r="L156" s="271"/>
      <c r="N156" s="92" t="s">
        <v>384</v>
      </c>
      <c r="O156" s="92" t="s">
        <v>841</v>
      </c>
      <c r="P156" s="93" t="s">
        <v>1057</v>
      </c>
      <c r="R156" s="52" t="s">
        <v>92</v>
      </c>
      <c r="S156" s="53" t="s">
        <v>960</v>
      </c>
      <c r="T156" s="52" t="s">
        <v>966</v>
      </c>
      <c r="W156" s="50" t="str">
        <f t="array" ref="W156">IF($V$2=0,"",IFERROR(INDEX($B$3:$C$520,SMALL(IF($B$3:$B$520=$V$2,ROW($B$3:$B$520)-2),ROW(B154)),2),""))</f>
        <v/>
      </c>
      <c r="AL156" s="87" t="str">
        <f t="array" ref="AL156">IF($AK$2=0,"",IFERROR(INDEX($N$3:$O$499,SMALL(IF($N$3:$N$499=$AK$2,ROW($N$3:$N$499)-2),ROW(N154)),2),""))</f>
        <v/>
      </c>
      <c r="AO156" s="36"/>
      <c r="AP156" s="80"/>
    </row>
    <row r="157" spans="2:42">
      <c r="B157" s="24" t="s">
        <v>321</v>
      </c>
      <c r="C157" s="24" t="s">
        <v>381</v>
      </c>
      <c r="H157" s="31"/>
      <c r="I157" s="271"/>
      <c r="K157" s="31"/>
      <c r="L157" s="271"/>
      <c r="N157" s="92" t="s">
        <v>384</v>
      </c>
      <c r="O157" s="92" t="s">
        <v>412</v>
      </c>
      <c r="P157" s="93" t="s">
        <v>1057</v>
      </c>
      <c r="R157" s="52" t="s">
        <v>92</v>
      </c>
      <c r="S157" s="53" t="s">
        <v>935</v>
      </c>
      <c r="T157" s="52" t="s">
        <v>966</v>
      </c>
      <c r="W157" s="50" t="str">
        <f t="array" ref="W157">IF($V$2=0,"",IFERROR(INDEX($B$3:$C$520,SMALL(IF($B$3:$B$520=$V$2,ROW($B$3:$B$520)-2),ROW(B155)),2),""))</f>
        <v/>
      </c>
      <c r="AL157" s="87" t="str">
        <f t="array" ref="AL157">IF($AK$2=0,"",IFERROR(INDEX($N$3:$O$499,SMALL(IF($N$3:$N$499=$AK$2,ROW($N$3:$N$499)-2),ROW(N155)),2),""))</f>
        <v/>
      </c>
      <c r="AO157" s="36"/>
      <c r="AP157" s="80"/>
    </row>
    <row r="158" spans="2:42">
      <c r="B158" s="24" t="s">
        <v>384</v>
      </c>
      <c r="C158" s="24" t="s">
        <v>385</v>
      </c>
      <c r="H158" s="31"/>
      <c r="I158" s="271"/>
      <c r="K158" s="31"/>
      <c r="L158" s="271"/>
      <c r="N158" s="92" t="s">
        <v>384</v>
      </c>
      <c r="O158" s="92" t="s">
        <v>414</v>
      </c>
      <c r="P158" s="93" t="s">
        <v>1057</v>
      </c>
      <c r="R158" s="52" t="s">
        <v>92</v>
      </c>
      <c r="S158" s="53" t="s">
        <v>936</v>
      </c>
      <c r="T158" s="52" t="s">
        <v>966</v>
      </c>
      <c r="W158" s="50" t="str">
        <f t="array" ref="W158">IF($V$2=0,"",IFERROR(INDEX($B$3:$C$520,SMALL(IF($B$3:$B$520=$V$2,ROW($B$3:$B$520)-2),ROW(B156)),2),""))</f>
        <v/>
      </c>
      <c r="AL158" s="87" t="str">
        <f t="array" ref="AL158">IF($AK$2=0,"",IFERROR(INDEX($N$3:$O$499,SMALL(IF($N$3:$N$499=$AK$2,ROW($N$3:$N$499)-2),ROW(N156)),2),""))</f>
        <v/>
      </c>
      <c r="AO158" s="36"/>
      <c r="AP158" s="80"/>
    </row>
    <row r="159" spans="2:42">
      <c r="B159" s="24" t="s">
        <v>384</v>
      </c>
      <c r="C159" s="24" t="s">
        <v>386</v>
      </c>
      <c r="H159" s="31"/>
      <c r="I159" s="271"/>
      <c r="K159" s="31"/>
      <c r="L159" s="271"/>
      <c r="N159" s="92" t="s">
        <v>384</v>
      </c>
      <c r="O159" s="92" t="s">
        <v>842</v>
      </c>
      <c r="P159" s="93" t="s">
        <v>1057</v>
      </c>
      <c r="R159" s="52" t="s">
        <v>92</v>
      </c>
      <c r="S159" s="53" t="s">
        <v>928</v>
      </c>
      <c r="T159" s="52" t="s">
        <v>966</v>
      </c>
      <c r="W159" s="50" t="str">
        <f t="array" ref="W159">IF($V$2=0,"",IFERROR(INDEX($B$3:$C$520,SMALL(IF($B$3:$B$520=$V$2,ROW($B$3:$B$520)-2),ROW(B157)),2),""))</f>
        <v/>
      </c>
      <c r="AL159" s="87" t="str">
        <f t="array" ref="AL159">IF($AK$2=0,"",IFERROR(INDEX($N$3:$O$499,SMALL(IF($N$3:$N$499=$AK$2,ROW($N$3:$N$499)-2),ROW(N157)),2),""))</f>
        <v/>
      </c>
      <c r="AO159" s="36"/>
      <c r="AP159" s="80"/>
    </row>
    <row r="160" spans="2:42">
      <c r="B160" s="24" t="s">
        <v>384</v>
      </c>
      <c r="C160" s="24" t="s">
        <v>387</v>
      </c>
      <c r="H160" s="31"/>
      <c r="I160" s="271"/>
      <c r="K160" s="31"/>
      <c r="L160" s="271"/>
      <c r="N160" s="92" t="s">
        <v>384</v>
      </c>
      <c r="O160" s="92" t="s">
        <v>404</v>
      </c>
      <c r="P160" s="93" t="s">
        <v>1057</v>
      </c>
      <c r="R160" s="52" t="s">
        <v>92</v>
      </c>
      <c r="S160" s="53" t="s">
        <v>926</v>
      </c>
      <c r="T160" s="52" t="s">
        <v>966</v>
      </c>
      <c r="W160" s="50" t="str">
        <f t="array" ref="W160">IF($V$2=0,"",IFERROR(INDEX($B$3:$C$520,SMALL(IF($B$3:$B$520=$V$2,ROW($B$3:$B$520)-2),ROW(B158)),2),""))</f>
        <v/>
      </c>
      <c r="AL160" s="87" t="str">
        <f t="array" ref="AL160">IF($AK$2=0,"",IFERROR(INDEX($N$3:$O$499,SMALL(IF($N$3:$N$499=$AK$2,ROW($N$3:$N$499)-2),ROW(N158)),2),""))</f>
        <v/>
      </c>
      <c r="AO160" s="36"/>
      <c r="AP160" s="80"/>
    </row>
    <row r="161" spans="2:42">
      <c r="B161" s="24" t="s">
        <v>384</v>
      </c>
      <c r="C161" s="24" t="s">
        <v>388</v>
      </c>
      <c r="H161" s="31"/>
      <c r="I161" s="271"/>
      <c r="K161" s="31"/>
      <c r="L161" s="271"/>
      <c r="N161" s="92" t="s">
        <v>272</v>
      </c>
      <c r="O161" s="92" t="s">
        <v>655</v>
      </c>
      <c r="P161" s="93" t="s">
        <v>1057</v>
      </c>
      <c r="R161" s="52" t="s">
        <v>92</v>
      </c>
      <c r="S161" s="53" t="s">
        <v>937</v>
      </c>
      <c r="T161" s="52" t="s">
        <v>966</v>
      </c>
      <c r="W161" s="50" t="str">
        <f t="array" ref="W161">IF($V$2=0,"",IFERROR(INDEX($B$3:$C$520,SMALL(IF($B$3:$B$520=$V$2,ROW($B$3:$B$520)-2),ROW(B159)),2),""))</f>
        <v/>
      </c>
      <c r="AL161" s="87" t="str">
        <f t="array" ref="AL161">IF($AK$2=0,"",IFERROR(INDEX($N$3:$O$499,SMALL(IF($N$3:$N$499=$AK$2,ROW($N$3:$N$499)-2),ROW(N159)),2),""))</f>
        <v/>
      </c>
      <c r="AO161" s="36"/>
      <c r="AP161" s="80"/>
    </row>
    <row r="162" spans="2:42">
      <c r="B162" s="24" t="s">
        <v>384</v>
      </c>
      <c r="C162" s="24" t="s">
        <v>389</v>
      </c>
      <c r="H162" s="31"/>
      <c r="I162" s="271"/>
      <c r="K162" s="31"/>
      <c r="L162" s="271"/>
      <c r="N162" s="92" t="s">
        <v>272</v>
      </c>
      <c r="O162" s="92" t="s">
        <v>656</v>
      </c>
      <c r="P162" s="93" t="s">
        <v>1057</v>
      </c>
      <c r="R162" s="52" t="s">
        <v>92</v>
      </c>
      <c r="S162" s="53" t="s">
        <v>939</v>
      </c>
      <c r="T162" s="52" t="s">
        <v>911</v>
      </c>
      <c r="W162" s="50" t="str">
        <f t="array" ref="W162">IF($V$2=0,"",IFERROR(INDEX($B$3:$C$520,SMALL(IF($B$3:$B$520=$V$2,ROW($B$3:$B$520)-2),ROW(B160)),2),""))</f>
        <v/>
      </c>
      <c r="AL162" s="87" t="str">
        <f t="array" ref="AL162">IF($AK$2=0,"",IFERROR(INDEX($N$3:$O$499,SMALL(IF($N$3:$N$499=$AK$2,ROW($N$3:$N$499)-2),ROW(N160)),2),""))</f>
        <v/>
      </c>
      <c r="AO162" s="36"/>
      <c r="AP162" s="80"/>
    </row>
    <row r="163" spans="2:42">
      <c r="B163" s="24" t="s">
        <v>384</v>
      </c>
      <c r="C163" s="24" t="s">
        <v>390</v>
      </c>
      <c r="H163" s="31"/>
      <c r="I163" s="271"/>
      <c r="K163" s="31"/>
      <c r="L163" s="271"/>
      <c r="N163" s="92" t="s">
        <v>272</v>
      </c>
      <c r="O163" s="92" t="s">
        <v>657</v>
      </c>
      <c r="P163" s="93" t="s">
        <v>1057</v>
      </c>
      <c r="R163" s="52" t="s">
        <v>92</v>
      </c>
      <c r="S163" s="53" t="s">
        <v>961</v>
      </c>
      <c r="T163" s="52" t="s">
        <v>911</v>
      </c>
      <c r="W163" s="50" t="str">
        <f t="array" ref="W163">IF($V$2=0,"",IFERROR(INDEX($B$3:$C$520,SMALL(IF($B$3:$B$520=$V$2,ROW($B$3:$B$520)-2),ROW(B161)),2),""))</f>
        <v/>
      </c>
      <c r="AL163" s="87" t="str">
        <f t="array" ref="AL163">IF($AK$2=0,"",IFERROR(INDEX($N$3:$O$499,SMALL(IF($N$3:$N$499=$AK$2,ROW($N$3:$N$499)-2),ROW(N161)),2),""))</f>
        <v/>
      </c>
      <c r="AO163" s="36"/>
      <c r="AP163" s="80"/>
    </row>
    <row r="164" spans="2:42">
      <c r="B164" s="24" t="s">
        <v>384</v>
      </c>
      <c r="C164" s="24" t="s">
        <v>391</v>
      </c>
      <c r="H164" s="31"/>
      <c r="I164" s="271"/>
      <c r="N164" s="92" t="s">
        <v>272</v>
      </c>
      <c r="O164" s="92" t="s">
        <v>658</v>
      </c>
      <c r="P164" s="93" t="s">
        <v>1057</v>
      </c>
      <c r="R164" s="52" t="s">
        <v>92</v>
      </c>
      <c r="S164" s="53" t="s">
        <v>962</v>
      </c>
      <c r="T164" s="52" t="s">
        <v>911</v>
      </c>
      <c r="W164" s="50" t="str">
        <f t="array" ref="W164">IF($V$2=0,"",IFERROR(INDEX($B$3:$C$520,SMALL(IF($B$3:$B$520=$V$2,ROW($B$3:$B$520)-2),ROW(B162)),2),""))</f>
        <v/>
      </c>
      <c r="AL164" s="87" t="str">
        <f t="array" ref="AL164">IF($AK$2=0,"",IFERROR(INDEX($N$3:$O$499,SMALL(IF($N$3:$N$499=$AK$2,ROW($N$3:$N$499)-2),ROW(N162)),2),""))</f>
        <v/>
      </c>
      <c r="AO164" s="36"/>
      <c r="AP164" s="80"/>
    </row>
    <row r="165" spans="2:42">
      <c r="B165" s="24" t="s">
        <v>384</v>
      </c>
      <c r="C165" s="24" t="s">
        <v>392</v>
      </c>
      <c r="H165" s="31"/>
      <c r="I165" s="271"/>
      <c r="N165" s="92" t="s">
        <v>272</v>
      </c>
      <c r="O165" s="92" t="s">
        <v>659</v>
      </c>
      <c r="P165" s="93" t="s">
        <v>1057</v>
      </c>
      <c r="R165" s="52" t="s">
        <v>92</v>
      </c>
      <c r="S165" s="53" t="s">
        <v>940</v>
      </c>
      <c r="T165" s="52" t="s">
        <v>911</v>
      </c>
      <c r="W165" s="50" t="str">
        <f t="array" ref="W165">IF($V$2=0,"",IFERROR(INDEX($B$3:$C$520,SMALL(IF($B$3:$B$520=$V$2,ROW($B$3:$B$520)-2),ROW(B163)),2),""))</f>
        <v/>
      </c>
      <c r="AL165" s="87" t="str">
        <f t="array" ref="AL165">IF($AK$2=0,"",IFERROR(INDEX($N$3:$O$499,SMALL(IF($N$3:$N$499=$AK$2,ROW($N$3:$N$499)-2),ROW(N163)),2),""))</f>
        <v/>
      </c>
      <c r="AO165" s="36"/>
      <c r="AP165" s="80"/>
    </row>
    <row r="166" spans="2:42">
      <c r="B166" s="24" t="s">
        <v>384</v>
      </c>
      <c r="C166" s="24" t="s">
        <v>393</v>
      </c>
      <c r="N166" s="92" t="s">
        <v>272</v>
      </c>
      <c r="O166" s="92" t="s">
        <v>660</v>
      </c>
      <c r="P166" s="93" t="s">
        <v>1057</v>
      </c>
      <c r="R166" s="52" t="s">
        <v>92</v>
      </c>
      <c r="S166" s="53" t="s">
        <v>948</v>
      </c>
      <c r="T166" s="52" t="s">
        <v>911</v>
      </c>
      <c r="W166" s="50" t="str">
        <f t="array" ref="W166">IF($V$2=0,"",IFERROR(INDEX($B$3:$C$520,SMALL(IF($B$3:$B$520=$V$2,ROW($B$3:$B$520)-2),ROW(B164)),2),""))</f>
        <v/>
      </c>
      <c r="AL166" s="87" t="str">
        <f t="array" ref="AL166">IF($AK$2=0,"",IFERROR(INDEX($N$3:$O$499,SMALL(IF($N$3:$N$499=$AK$2,ROW($N$3:$N$499)-2),ROW(N164)),2),""))</f>
        <v/>
      </c>
      <c r="AO166" s="36"/>
      <c r="AP166" s="80"/>
    </row>
    <row r="167" spans="2:42">
      <c r="B167" s="24" t="s">
        <v>384</v>
      </c>
      <c r="C167" s="24" t="s">
        <v>394</v>
      </c>
      <c r="N167" s="92" t="s">
        <v>384</v>
      </c>
      <c r="O167" s="92" t="s">
        <v>402</v>
      </c>
      <c r="P167" s="93" t="s">
        <v>1057</v>
      </c>
      <c r="R167" s="52" t="s">
        <v>92</v>
      </c>
      <c r="S167" s="53" t="s">
        <v>941</v>
      </c>
      <c r="T167" s="52" t="s">
        <v>911</v>
      </c>
      <c r="W167" s="50" t="str">
        <f t="array" ref="W167">IF($V$2=0,"",IFERROR(INDEX($B$3:$C$520,SMALL(IF($B$3:$B$520=$V$2,ROW($B$3:$B$520)-2),ROW(B165)),2),""))</f>
        <v/>
      </c>
      <c r="AL167" s="87" t="str">
        <f t="array" ref="AL167">IF($AK$2=0,"",IFERROR(INDEX($N$3:$O$499,SMALL(IF($N$3:$N$499=$AK$2,ROW($N$3:$N$499)-2),ROW(N165)),2),""))</f>
        <v/>
      </c>
      <c r="AO167" s="36"/>
      <c r="AP167" s="80"/>
    </row>
    <row r="168" spans="2:42">
      <c r="B168" s="24" t="s">
        <v>384</v>
      </c>
      <c r="C168" s="24" t="s">
        <v>395</v>
      </c>
      <c r="N168" s="92" t="s">
        <v>272</v>
      </c>
      <c r="O168" s="92" t="s">
        <v>634</v>
      </c>
      <c r="P168" s="93" t="s">
        <v>1057</v>
      </c>
      <c r="R168" s="52" t="s">
        <v>92</v>
      </c>
      <c r="S168" s="53" t="s">
        <v>905</v>
      </c>
      <c r="T168" s="52" t="s">
        <v>912</v>
      </c>
      <c r="W168" s="50" t="str">
        <f t="array" ref="W168">IF($V$2=0,"",IFERROR(INDEX($B$3:$C$520,SMALL(IF($B$3:$B$520=$V$2,ROW($B$3:$B$520)-2),ROW(B166)),2),""))</f>
        <v/>
      </c>
      <c r="AL168" s="87" t="str">
        <f t="array" ref="AL168">IF($AK$2=0,"",IFERROR(INDEX($N$3:$O$499,SMALL(IF($N$3:$N$499=$AK$2,ROW($N$3:$N$499)-2),ROW(N166)),2),""))</f>
        <v/>
      </c>
      <c r="AO168" s="36"/>
      <c r="AP168" s="80"/>
    </row>
    <row r="169" spans="2:42">
      <c r="B169" s="24" t="s">
        <v>384</v>
      </c>
      <c r="C169" s="24" t="s">
        <v>763</v>
      </c>
      <c r="N169" s="92" t="s">
        <v>272</v>
      </c>
      <c r="O169" s="92" t="s">
        <v>605</v>
      </c>
      <c r="P169" s="93" t="s">
        <v>1057</v>
      </c>
      <c r="R169" s="52" t="s">
        <v>92</v>
      </c>
      <c r="S169" s="53" t="s">
        <v>200</v>
      </c>
      <c r="T169" s="52" t="s">
        <v>912</v>
      </c>
      <c r="W169" s="50" t="str">
        <f t="array" ref="W169">IF($V$2=0,"",IFERROR(INDEX($B$3:$C$520,SMALL(IF($B$3:$B$520=$V$2,ROW($B$3:$B$520)-2),ROW(B167)),2),""))</f>
        <v/>
      </c>
      <c r="AL169" s="87" t="str">
        <f t="array" ref="AL169">IF($AK$2=0,"",IFERROR(INDEX($N$3:$O$499,SMALL(IF($N$3:$N$499=$AK$2,ROW($N$3:$N$499)-2),ROW(N167)),2),""))</f>
        <v/>
      </c>
      <c r="AO169" s="36"/>
      <c r="AP169" s="80"/>
    </row>
    <row r="170" spans="2:42">
      <c r="B170" s="24" t="s">
        <v>384</v>
      </c>
      <c r="C170" s="24" t="s">
        <v>764</v>
      </c>
      <c r="N170" s="92" t="s">
        <v>272</v>
      </c>
      <c r="O170" s="92" t="s">
        <v>612</v>
      </c>
      <c r="P170" s="93" t="s">
        <v>1057</v>
      </c>
      <c r="R170" s="52" t="s">
        <v>92</v>
      </c>
      <c r="S170" s="53" t="s">
        <v>906</v>
      </c>
      <c r="T170" s="52" t="s">
        <v>912</v>
      </c>
      <c r="W170" s="50" t="str">
        <f t="array" ref="W170">IF($V$2=0,"",IFERROR(INDEX($B$3:$C$520,SMALL(IF($B$3:$B$520=$V$2,ROW($B$3:$B$520)-2),ROW(B168)),2),""))</f>
        <v/>
      </c>
      <c r="AL170" s="87" t="str">
        <f t="array" ref="AL170">IF($AK$2=0,"",IFERROR(INDEX($N$3:$O$499,SMALL(IF($N$3:$N$499=$AK$2,ROW($N$3:$N$499)-2),ROW(N168)),2),""))</f>
        <v/>
      </c>
      <c r="AO170" s="36"/>
      <c r="AP170" s="80"/>
    </row>
    <row r="171" spans="2:42">
      <c r="B171" s="24" t="s">
        <v>384</v>
      </c>
      <c r="C171" s="24" t="s">
        <v>765</v>
      </c>
      <c r="N171" s="92" t="s">
        <v>272</v>
      </c>
      <c r="O171" s="92" t="s">
        <v>635</v>
      </c>
      <c r="P171" s="93" t="s">
        <v>1057</v>
      </c>
      <c r="R171" s="52" t="s">
        <v>92</v>
      </c>
      <c r="S171" s="53" t="s">
        <v>943</v>
      </c>
      <c r="T171" s="52" t="s">
        <v>912</v>
      </c>
      <c r="W171" s="50" t="str">
        <f t="array" ref="W171">IF($V$2=0,"",IFERROR(INDEX($B$3:$C$520,SMALL(IF($B$3:$B$520=$V$2,ROW($B$3:$B$520)-2),ROW(B169)),2),""))</f>
        <v/>
      </c>
      <c r="AL171" s="87" t="str">
        <f t="array" ref="AL171">IF($AK$2=0,"",IFERROR(INDEX($N$3:$O$499,SMALL(IF($N$3:$N$499=$AK$2,ROW($N$3:$N$499)-2),ROW(N169)),2),""))</f>
        <v/>
      </c>
      <c r="AO171" s="36"/>
      <c r="AP171" s="80"/>
    </row>
    <row r="172" spans="2:42">
      <c r="B172" s="24" t="s">
        <v>384</v>
      </c>
      <c r="C172" s="24" t="s">
        <v>1009</v>
      </c>
      <c r="N172" s="92" t="s">
        <v>272</v>
      </c>
      <c r="O172" s="92" t="s">
        <v>606</v>
      </c>
      <c r="P172" s="93" t="s">
        <v>1057</v>
      </c>
      <c r="R172" s="52" t="s">
        <v>92</v>
      </c>
      <c r="S172" s="53" t="s">
        <v>435</v>
      </c>
      <c r="T172" s="52" t="s">
        <v>429</v>
      </c>
      <c r="W172" s="50" t="str">
        <f t="array" ref="W172">IF($V$2=0,"",IFERROR(INDEX($B$3:$C$520,SMALL(IF($B$3:$B$520=$V$2,ROW($B$3:$B$520)-2),ROW(B170)),2),""))</f>
        <v/>
      </c>
      <c r="AL172" s="87" t="str">
        <f t="array" ref="AL172">IF($AK$2=0,"",IFERROR(INDEX($N$3:$O$499,SMALL(IF($N$3:$N$499=$AK$2,ROW($N$3:$N$499)-2),ROW(N170)),2),""))</f>
        <v/>
      </c>
      <c r="AO172" s="36"/>
      <c r="AP172" s="80"/>
    </row>
    <row r="173" spans="2:42">
      <c r="B173" s="24" t="s">
        <v>384</v>
      </c>
      <c r="C173" s="24" t="s">
        <v>1010</v>
      </c>
      <c r="N173" s="92" t="s">
        <v>272</v>
      </c>
      <c r="O173" s="92" t="s">
        <v>607</v>
      </c>
      <c r="P173" s="93" t="s">
        <v>1057</v>
      </c>
      <c r="R173" s="52" t="s">
        <v>92</v>
      </c>
      <c r="S173" s="53" t="s">
        <v>907</v>
      </c>
      <c r="T173" s="52" t="s">
        <v>429</v>
      </c>
      <c r="W173" s="50" t="str">
        <f t="array" ref="W173">IF($V$2=0,"",IFERROR(INDEX($B$3:$C$520,SMALL(IF($B$3:$B$520=$V$2,ROW($B$3:$B$520)-2),ROW(B171)),2),""))</f>
        <v/>
      </c>
      <c r="AL173" s="87" t="str">
        <f t="array" ref="AL173">IF($AK$2=0,"",IFERROR(INDEX($N$3:$O$499,SMALL(IF($N$3:$N$499=$AK$2,ROW($N$3:$N$499)-2),ROW(N171)),2),""))</f>
        <v/>
      </c>
      <c r="AO173" s="36"/>
      <c r="AP173" s="80"/>
    </row>
    <row r="174" spans="2:42">
      <c r="B174" s="24" t="s">
        <v>384</v>
      </c>
      <c r="C174" s="24" t="s">
        <v>1011</v>
      </c>
      <c r="N174" s="92" t="s">
        <v>272</v>
      </c>
      <c r="O174" s="92" t="s">
        <v>636</v>
      </c>
      <c r="P174" s="93" t="s">
        <v>1057</v>
      </c>
      <c r="R174" s="52" t="s">
        <v>92</v>
      </c>
      <c r="S174" s="53" t="s">
        <v>945</v>
      </c>
      <c r="T174" s="52" t="s">
        <v>429</v>
      </c>
      <c r="W174" s="50" t="str">
        <f t="array" ref="W174">IF($V$2=0,"",IFERROR(INDEX($B$3:$C$520,SMALL(IF($B$3:$B$520=$V$2,ROW($B$3:$B$520)-2),ROW(B172)),2),""))</f>
        <v/>
      </c>
      <c r="AL174" s="87" t="str">
        <f t="array" ref="AL174">IF($AK$2=0,"",IFERROR(INDEX($N$3:$O$499,SMALL(IF($N$3:$N$499=$AK$2,ROW($N$3:$N$499)-2),ROW(N172)),2),""))</f>
        <v/>
      </c>
      <c r="AO174" s="36"/>
      <c r="AP174" s="80"/>
    </row>
    <row r="175" spans="2:42">
      <c r="B175" s="24" t="s">
        <v>384</v>
      </c>
      <c r="C175" s="24" t="s">
        <v>1012</v>
      </c>
      <c r="N175" s="92" t="s">
        <v>272</v>
      </c>
      <c r="O175" s="92" t="s">
        <v>637</v>
      </c>
      <c r="P175" s="93" t="s">
        <v>1057</v>
      </c>
      <c r="R175" s="52" t="s">
        <v>92</v>
      </c>
      <c r="S175" s="53" t="s">
        <v>436</v>
      </c>
      <c r="T175" s="52" t="s">
        <v>429</v>
      </c>
      <c r="W175" s="50" t="str">
        <f t="array" ref="W175">IF($V$2=0,"",IFERROR(INDEX($B$3:$C$520,SMALL(IF($B$3:$B$520=$V$2,ROW($B$3:$B$520)-2),ROW(B173)),2),""))</f>
        <v/>
      </c>
      <c r="AL175" s="87" t="str">
        <f t="array" ref="AL175">IF($AK$2=0,"",IFERROR(INDEX($N$3:$O$499,SMALL(IF($N$3:$N$499=$AK$2,ROW($N$3:$N$499)-2),ROW(N173)),2),""))</f>
        <v/>
      </c>
      <c r="AO175" s="36"/>
      <c r="AP175" s="80"/>
    </row>
    <row r="176" spans="2:42">
      <c r="B176" s="24" t="s">
        <v>60</v>
      </c>
      <c r="C176" s="24" t="s">
        <v>792</v>
      </c>
      <c r="N176" s="92" t="s">
        <v>272</v>
      </c>
      <c r="O176" s="92" t="s">
        <v>638</v>
      </c>
      <c r="P176" s="93" t="s">
        <v>1057</v>
      </c>
      <c r="R176" s="52" t="s">
        <v>92</v>
      </c>
      <c r="S176" s="53" t="s">
        <v>946</v>
      </c>
      <c r="T176" s="52" t="s">
        <v>429</v>
      </c>
      <c r="W176" s="50" t="str">
        <f t="array" ref="W176">IF($V$2=0,"",IFERROR(INDEX($B$3:$C$520,SMALL(IF($B$3:$B$520=$V$2,ROW($B$3:$B$520)-2),ROW(B174)),2),""))</f>
        <v/>
      </c>
      <c r="AL176" s="87" t="str">
        <f t="array" ref="AL176">IF($AK$2=0,"",IFERROR(INDEX($N$3:$O$499,SMALL(IF($N$3:$N$499=$AK$2,ROW($N$3:$N$499)-2),ROW(N174)),2),""))</f>
        <v/>
      </c>
      <c r="AO176" s="36"/>
      <c r="AP176" s="80"/>
    </row>
    <row r="177" spans="2:42">
      <c r="B177" s="24" t="s">
        <v>60</v>
      </c>
      <c r="C177" s="24" t="s">
        <v>793</v>
      </c>
      <c r="N177" s="92" t="s">
        <v>272</v>
      </c>
      <c r="O177" s="92" t="s">
        <v>639</v>
      </c>
      <c r="P177" s="93" t="s">
        <v>1057</v>
      </c>
      <c r="R177" s="52" t="s">
        <v>92</v>
      </c>
      <c r="S177" s="53" t="s">
        <v>949</v>
      </c>
      <c r="T177" s="52" t="s">
        <v>429</v>
      </c>
      <c r="W177" s="50" t="str">
        <f t="array" ref="W177">IF($V$2=0,"",IFERROR(INDEX($B$3:$C$520,SMALL(IF($B$3:$B$520=$V$2,ROW($B$3:$B$520)-2),ROW(B175)),2),""))</f>
        <v/>
      </c>
      <c r="AL177" s="87" t="str">
        <f t="array" ref="AL177">IF($AK$2=0,"",IFERROR(INDEX($N$3:$O$499,SMALL(IF($N$3:$N$499=$AK$2,ROW($N$3:$N$499)-2),ROW(N175)),2),""))</f>
        <v/>
      </c>
      <c r="AO177" s="36"/>
      <c r="AP177" s="80"/>
    </row>
    <row r="178" spans="2:42">
      <c r="B178" s="24" t="s">
        <v>60</v>
      </c>
      <c r="C178" s="24" t="s">
        <v>794</v>
      </c>
      <c r="N178" s="92" t="s">
        <v>272</v>
      </c>
      <c r="O178" s="92" t="s">
        <v>640</v>
      </c>
      <c r="P178" s="93" t="s">
        <v>1057</v>
      </c>
      <c r="R178" s="52" t="s">
        <v>60</v>
      </c>
      <c r="S178" s="53" t="s">
        <v>893</v>
      </c>
      <c r="T178" s="52" t="s">
        <v>908</v>
      </c>
      <c r="W178" s="50" t="str">
        <f t="array" ref="W178">IF($V$2=0,"",IFERROR(INDEX($B$3:$C$520,SMALL(IF($B$3:$B$520=$V$2,ROW($B$3:$B$520)-2),ROW(B176)),2),""))</f>
        <v/>
      </c>
      <c r="AL178" s="87" t="str">
        <f t="array" ref="AL178">IF($AK$2=0,"",IFERROR(INDEX($N$3:$O$499,SMALL(IF($N$3:$N$499=$AK$2,ROW($N$3:$N$499)-2),ROW(N176)),2),""))</f>
        <v/>
      </c>
      <c r="AO178" s="36"/>
      <c r="AP178" s="80"/>
    </row>
    <row r="179" spans="2:42">
      <c r="B179" s="24" t="s">
        <v>60</v>
      </c>
      <c r="C179" s="24" t="s">
        <v>795</v>
      </c>
      <c r="N179" s="92" t="s">
        <v>272</v>
      </c>
      <c r="O179" s="92" t="s">
        <v>608</v>
      </c>
      <c r="P179" s="93" t="s">
        <v>1057</v>
      </c>
      <c r="R179" s="52" t="s">
        <v>60</v>
      </c>
      <c r="S179" s="53" t="s">
        <v>915</v>
      </c>
      <c r="T179" s="52" t="s">
        <v>908</v>
      </c>
      <c r="W179" s="50" t="str">
        <f t="array" ref="W179">IF($V$2=0,"",IFERROR(INDEX($B$3:$C$520,SMALL(IF($B$3:$B$520=$V$2,ROW($B$3:$B$520)-2),ROW(B177)),2),""))</f>
        <v/>
      </c>
      <c r="AL179" s="87" t="str">
        <f t="array" ref="AL179">IF($AK$2=0,"",IFERROR(INDEX($N$3:$O$499,SMALL(IF($N$3:$N$499=$AK$2,ROW($N$3:$N$499)-2),ROW(N177)),2),""))</f>
        <v/>
      </c>
      <c r="AO179" s="36"/>
      <c r="AP179" s="80"/>
    </row>
    <row r="180" spans="2:42">
      <c r="B180" s="24" t="s">
        <v>60</v>
      </c>
      <c r="C180" s="24" t="s">
        <v>796</v>
      </c>
      <c r="N180" s="92" t="s">
        <v>272</v>
      </c>
      <c r="O180" s="92" t="s">
        <v>609</v>
      </c>
      <c r="P180" s="93" t="s">
        <v>1057</v>
      </c>
      <c r="R180" s="52" t="s">
        <v>60</v>
      </c>
      <c r="S180" s="53" t="s">
        <v>917</v>
      </c>
      <c r="T180" s="52" t="s">
        <v>908</v>
      </c>
      <c r="W180" s="50" t="str">
        <f t="array" ref="W180">IF($V$2=0,"",IFERROR(INDEX($B$3:$C$520,SMALL(IF($B$3:$B$520=$V$2,ROW($B$3:$B$520)-2),ROW(B178)),2),""))</f>
        <v/>
      </c>
      <c r="AL180" s="87" t="str">
        <f t="array" ref="AL180">IF($AK$2=0,"",IFERROR(INDEX($N$3:$O$499,SMALL(IF($N$3:$N$499=$AK$2,ROW($N$3:$N$499)-2),ROW(N178)),2),""))</f>
        <v/>
      </c>
      <c r="AO180" s="36"/>
      <c r="AP180" s="80"/>
    </row>
    <row r="181" spans="2:42">
      <c r="B181" s="24" t="s">
        <v>60</v>
      </c>
      <c r="C181" s="24" t="s">
        <v>797</v>
      </c>
      <c r="N181" s="92" t="s">
        <v>272</v>
      </c>
      <c r="O181" s="92" t="s">
        <v>610</v>
      </c>
      <c r="P181" s="93" t="s">
        <v>1057</v>
      </c>
      <c r="R181" s="52" t="s">
        <v>60</v>
      </c>
      <c r="S181" s="53" t="s">
        <v>918</v>
      </c>
      <c r="T181" s="52" t="s">
        <v>908</v>
      </c>
      <c r="W181" s="50" t="str">
        <f t="array" ref="W181">IF($V$2=0,"",IFERROR(INDEX($B$3:$C$520,SMALL(IF($B$3:$B$520=$V$2,ROW($B$3:$B$520)-2),ROW(B179)),2),""))</f>
        <v/>
      </c>
      <c r="AL181" s="87" t="str">
        <f t="array" ref="AL181">IF($AK$2=0,"",IFERROR(INDEX($N$3:$O$499,SMALL(IF($N$3:$N$499=$AK$2,ROW($N$3:$N$499)-2),ROW(N179)),2),""))</f>
        <v/>
      </c>
      <c r="AO181" s="36"/>
      <c r="AP181" s="80"/>
    </row>
    <row r="182" spans="2:42">
      <c r="B182" s="24" t="s">
        <v>60</v>
      </c>
      <c r="C182" s="24" t="s">
        <v>38</v>
      </c>
      <c r="N182" s="92" t="s">
        <v>321</v>
      </c>
      <c r="O182" s="92" t="s">
        <v>577</v>
      </c>
      <c r="P182" s="93" t="s">
        <v>1057</v>
      </c>
      <c r="R182" s="52" t="s">
        <v>60</v>
      </c>
      <c r="S182" s="53" t="s">
        <v>919</v>
      </c>
      <c r="T182" s="52" t="s">
        <v>908</v>
      </c>
      <c r="W182" s="50" t="str">
        <f t="array" ref="W182">IF($V$2=0,"",IFERROR(INDEX($B$3:$C$520,SMALL(IF($B$3:$B$520=$V$2,ROW($B$3:$B$520)-2),ROW(B180)),2),""))</f>
        <v/>
      </c>
      <c r="AL182" s="87" t="str">
        <f t="array" ref="AL182">IF($AK$2=0,"",IFERROR(INDEX($N$3:$O$499,SMALL(IF($N$3:$N$499=$AK$2,ROW($N$3:$N$499)-2),ROW(N180)),2),""))</f>
        <v/>
      </c>
      <c r="AO182" s="36"/>
      <c r="AP182" s="80"/>
    </row>
    <row r="183" spans="2:42">
      <c r="B183" s="24" t="s">
        <v>60</v>
      </c>
      <c r="C183" s="24" t="s">
        <v>40</v>
      </c>
      <c r="N183" s="92" t="s">
        <v>272</v>
      </c>
      <c r="O183" s="92" t="s">
        <v>619</v>
      </c>
      <c r="P183" s="93" t="s">
        <v>1057</v>
      </c>
      <c r="R183" s="52" t="s">
        <v>60</v>
      </c>
      <c r="S183" s="53" t="s">
        <v>921</v>
      </c>
      <c r="T183" s="52" t="s">
        <v>908</v>
      </c>
      <c r="W183" s="50" t="str">
        <f t="array" ref="W183">IF($V$2=0,"",IFERROR(INDEX($B$3:$C$520,SMALL(IF($B$3:$B$520=$V$2,ROW($B$3:$B$520)-2),ROW(B181)),2),""))</f>
        <v/>
      </c>
      <c r="AL183" s="87" t="str">
        <f t="array" ref="AL183">IF($AK$2=0,"",IFERROR(INDEX($N$3:$O$499,SMALL(IF($N$3:$N$499=$AK$2,ROW($N$3:$N$499)-2),ROW(N181)),2),""))</f>
        <v/>
      </c>
      <c r="AO183" s="36"/>
      <c r="AP183" s="80"/>
    </row>
    <row r="184" spans="2:42">
      <c r="B184" s="24" t="s">
        <v>60</v>
      </c>
      <c r="C184" s="24" t="s">
        <v>786</v>
      </c>
      <c r="N184" s="92" t="s">
        <v>272</v>
      </c>
      <c r="O184" s="92" t="s">
        <v>641</v>
      </c>
      <c r="P184" s="93" t="s">
        <v>1057</v>
      </c>
      <c r="R184" s="52" t="s">
        <v>60</v>
      </c>
      <c r="S184" s="53" t="s">
        <v>923</v>
      </c>
      <c r="T184" s="52" t="s">
        <v>910</v>
      </c>
      <c r="W184" s="50" t="str">
        <f t="array" ref="W184">IF($V$2=0,"",IFERROR(INDEX($B$3:$C$520,SMALL(IF($B$3:$B$520=$V$2,ROW($B$3:$B$520)-2),ROW(B182)),2),""))</f>
        <v/>
      </c>
      <c r="AL184" s="87" t="str">
        <f t="array" ref="AL184">IF($AK$2=0,"",IFERROR(INDEX($N$3:$O$499,SMALL(IF($N$3:$N$499=$AK$2,ROW($N$3:$N$499)-2),ROW(N182)),2),""))</f>
        <v/>
      </c>
      <c r="AO184" s="36"/>
      <c r="AP184" s="80"/>
    </row>
    <row r="185" spans="2:42">
      <c r="B185" s="24" t="s">
        <v>60</v>
      </c>
      <c r="C185" s="24" t="s">
        <v>787</v>
      </c>
      <c r="N185" s="92" t="s">
        <v>272</v>
      </c>
      <c r="O185" s="92" t="s">
        <v>642</v>
      </c>
      <c r="P185" s="93" t="s">
        <v>1057</v>
      </c>
      <c r="R185" s="52" t="s">
        <v>60</v>
      </c>
      <c r="S185" s="53" t="s">
        <v>926</v>
      </c>
      <c r="T185" s="52" t="s">
        <v>910</v>
      </c>
      <c r="W185" s="50" t="str">
        <f t="array" ref="W185">IF($V$2=0,"",IFERROR(INDEX($B$3:$C$520,SMALL(IF($B$3:$B$520=$V$2,ROW($B$3:$B$520)-2),ROW(B183)),2),""))</f>
        <v/>
      </c>
      <c r="AL185" s="87" t="str">
        <f t="array" ref="AL185">IF($AK$2=0,"",IFERROR(INDEX($N$3:$O$499,SMALL(IF($N$3:$N$499=$AK$2,ROW($N$3:$N$499)-2),ROW(N183)),2),""))</f>
        <v/>
      </c>
      <c r="AO185" s="36"/>
      <c r="AP185" s="80"/>
    </row>
    <row r="186" spans="2:42">
      <c r="B186" s="24" t="s">
        <v>60</v>
      </c>
      <c r="C186" s="24" t="s">
        <v>788</v>
      </c>
      <c r="N186" s="92" t="s">
        <v>272</v>
      </c>
      <c r="O186" s="92" t="s">
        <v>666</v>
      </c>
      <c r="P186" s="93" t="s">
        <v>1057</v>
      </c>
      <c r="R186" s="52" t="s">
        <v>60</v>
      </c>
      <c r="S186" s="53" t="s">
        <v>927</v>
      </c>
      <c r="T186" s="52" t="s">
        <v>910</v>
      </c>
      <c r="W186" s="50" t="str">
        <f t="array" ref="W186">IF($V$2=0,"",IFERROR(INDEX($B$3:$C$520,SMALL(IF($B$3:$B$520=$V$2,ROW($B$3:$B$520)-2),ROW(B184)),2),""))</f>
        <v/>
      </c>
      <c r="AL186" s="87" t="str">
        <f t="array" ref="AL186">IF($AK$2=0,"",IFERROR(INDEX($N$3:$O$499,SMALL(IF($N$3:$N$499=$AK$2,ROW($N$3:$N$499)-2),ROW(N184)),2),""))</f>
        <v/>
      </c>
      <c r="AO186" s="36"/>
      <c r="AP186" s="80"/>
    </row>
    <row r="187" spans="2:42">
      <c r="B187" s="24" t="s">
        <v>60</v>
      </c>
      <c r="C187" s="24" t="s">
        <v>789</v>
      </c>
      <c r="N187" s="92" t="s">
        <v>272</v>
      </c>
      <c r="O187" s="92" t="s">
        <v>643</v>
      </c>
      <c r="P187" s="93" t="s">
        <v>1057</v>
      </c>
      <c r="R187" s="52" t="s">
        <v>60</v>
      </c>
      <c r="S187" s="53" t="s">
        <v>928</v>
      </c>
      <c r="T187" s="52" t="s">
        <v>910</v>
      </c>
      <c r="W187" s="50" t="str">
        <f t="array" ref="W187">IF($V$2=0,"",IFERROR(INDEX($B$3:$C$520,SMALL(IF($B$3:$B$520=$V$2,ROW($B$3:$B$520)-2),ROW(B185)),2),""))</f>
        <v/>
      </c>
      <c r="AL187" s="87" t="str">
        <f t="array" ref="AL187">IF($AK$2=0,"",IFERROR(INDEX($N$3:$O$499,SMALL(IF($N$3:$N$499=$AK$2,ROW($N$3:$N$499)-2),ROW(N185)),2),""))</f>
        <v/>
      </c>
      <c r="AO187" s="36"/>
      <c r="AP187" s="80"/>
    </row>
    <row r="188" spans="2:42">
      <c r="B188" s="24" t="s">
        <v>60</v>
      </c>
      <c r="C188" s="24" t="s">
        <v>790</v>
      </c>
      <c r="N188" s="92" t="s">
        <v>272</v>
      </c>
      <c r="O188" s="92" t="s">
        <v>644</v>
      </c>
      <c r="P188" s="93" t="s">
        <v>1057</v>
      </c>
      <c r="R188" s="52" t="s">
        <v>60</v>
      </c>
      <c r="S188" s="53" t="s">
        <v>929</v>
      </c>
      <c r="T188" s="52" t="s">
        <v>910</v>
      </c>
      <c r="W188" s="50" t="str">
        <f t="array" ref="W188">IF($V$2=0,"",IFERROR(INDEX($B$3:$C$520,SMALL(IF($B$3:$B$520=$V$2,ROW($B$3:$B$520)-2),ROW(B186)),2),""))</f>
        <v/>
      </c>
      <c r="AL188" s="87" t="str">
        <f t="array" ref="AL188">IF($AK$2=0,"",IFERROR(INDEX($N$3:$O$499,SMALL(IF($N$3:$N$499=$AK$2,ROW($N$3:$N$499)-2),ROW(N186)),2),""))</f>
        <v/>
      </c>
      <c r="AO188" s="36"/>
      <c r="AP188" s="80"/>
    </row>
    <row r="189" spans="2:42">
      <c r="B189" s="24" t="s">
        <v>60</v>
      </c>
      <c r="C189" s="24" t="s">
        <v>791</v>
      </c>
      <c r="N189" s="92" t="s">
        <v>272</v>
      </c>
      <c r="O189" s="92" t="s">
        <v>645</v>
      </c>
      <c r="P189" s="93" t="s">
        <v>1057</v>
      </c>
      <c r="R189" s="52" t="s">
        <v>60</v>
      </c>
      <c r="S189" s="53" t="s">
        <v>932</v>
      </c>
      <c r="T189" s="52" t="s">
        <v>966</v>
      </c>
      <c r="W189" s="50" t="str">
        <f t="array" ref="W189">IF($V$2=0,"",IFERROR(INDEX($B$3:$C$520,SMALL(IF($B$3:$B$520=$V$2,ROW($B$3:$B$520)-2),ROW(B187)),2),""))</f>
        <v/>
      </c>
      <c r="AL189" s="87" t="str">
        <f t="array" ref="AL189">IF($AK$2=0,"",IFERROR(INDEX($N$3:$O$499,SMALL(IF($N$3:$N$499=$AK$2,ROW($N$3:$N$499)-2),ROW(N187)),2),""))</f>
        <v/>
      </c>
      <c r="AO189" s="36"/>
      <c r="AP189" s="80"/>
    </row>
    <row r="190" spans="2:42">
      <c r="B190" s="24" t="s">
        <v>60</v>
      </c>
      <c r="C190" s="24" t="s">
        <v>39</v>
      </c>
      <c r="N190" s="92" t="s">
        <v>272</v>
      </c>
      <c r="O190" s="92" t="s">
        <v>1047</v>
      </c>
      <c r="P190" s="93" t="s">
        <v>1057</v>
      </c>
      <c r="R190" s="52" t="s">
        <v>60</v>
      </c>
      <c r="S190" s="53" t="s">
        <v>927</v>
      </c>
      <c r="T190" s="52" t="s">
        <v>966</v>
      </c>
      <c r="W190" s="50" t="str">
        <f t="array" ref="W190">IF($V$2=0,"",IFERROR(INDEX($B$3:$C$520,SMALL(IF($B$3:$B$520=$V$2,ROW($B$3:$B$520)-2),ROW(B188)),2),""))</f>
        <v/>
      </c>
      <c r="AL190" s="87" t="str">
        <f t="array" ref="AL190">IF($AK$2=0,"",IFERROR(INDEX($N$3:$O$499,SMALL(IF($N$3:$N$499=$AK$2,ROW($N$3:$N$499)-2),ROW(N188)),2),""))</f>
        <v/>
      </c>
      <c r="AO190" s="36"/>
      <c r="AP190" s="80"/>
    </row>
    <row r="191" spans="2:42">
      <c r="B191" s="24" t="s">
        <v>60</v>
      </c>
      <c r="C191" s="24" t="s">
        <v>41</v>
      </c>
      <c r="N191" s="92" t="s">
        <v>272</v>
      </c>
      <c r="O191" s="92" t="s">
        <v>620</v>
      </c>
      <c r="P191" s="93" t="s">
        <v>1057</v>
      </c>
      <c r="R191" s="52" t="s">
        <v>60</v>
      </c>
      <c r="S191" s="53" t="s">
        <v>933</v>
      </c>
      <c r="T191" s="52" t="s">
        <v>966</v>
      </c>
      <c r="W191" s="50" t="str">
        <f t="array" ref="W191">IF($V$2=0,"",IFERROR(INDEX($B$3:$C$520,SMALL(IF($B$3:$B$520=$V$2,ROW($B$3:$B$520)-2),ROW(B189)),2),""))</f>
        <v/>
      </c>
      <c r="AL191" s="87" t="str">
        <f t="array" ref="AL191">IF($AK$2=0,"",IFERROR(INDEX($N$3:$O$499,SMALL(IF($N$3:$N$499=$AK$2,ROW($N$3:$N$499)-2),ROW(N189)),2),""))</f>
        <v/>
      </c>
      <c r="AO191" s="36"/>
      <c r="AP191" s="80"/>
    </row>
    <row r="192" spans="2:42">
      <c r="B192" s="24" t="s">
        <v>60</v>
      </c>
      <c r="C192" s="24" t="s">
        <v>780</v>
      </c>
      <c r="N192" s="92" t="s">
        <v>272</v>
      </c>
      <c r="O192" s="92" t="s">
        <v>621</v>
      </c>
      <c r="P192" s="93" t="s">
        <v>1057</v>
      </c>
      <c r="R192" s="52" t="s">
        <v>60</v>
      </c>
      <c r="S192" s="53" t="s">
        <v>935</v>
      </c>
      <c r="T192" s="52" t="s">
        <v>966</v>
      </c>
      <c r="W192" s="50" t="str">
        <f t="array" ref="W192">IF($V$2=0,"",IFERROR(INDEX($B$3:$C$520,SMALL(IF($B$3:$B$520=$V$2,ROW($B$3:$B$520)-2),ROW(B190)),2),""))</f>
        <v/>
      </c>
      <c r="AL192" s="87" t="str">
        <f t="array" ref="AL192">IF($AK$2=0,"",IFERROR(INDEX($N$3:$O$499,SMALL(IF($N$3:$N$499=$AK$2,ROW($N$3:$N$499)-2),ROW(N190)),2),""))</f>
        <v/>
      </c>
      <c r="AO192" s="36"/>
      <c r="AP192" s="80"/>
    </row>
    <row r="193" spans="2:42">
      <c r="B193" s="24" t="s">
        <v>60</v>
      </c>
      <c r="C193" s="24" t="s">
        <v>781</v>
      </c>
      <c r="N193" s="92" t="s">
        <v>272</v>
      </c>
      <c r="O193" s="92" t="s">
        <v>622</v>
      </c>
      <c r="P193" s="93" t="s">
        <v>1057</v>
      </c>
      <c r="R193" s="52" t="s">
        <v>60</v>
      </c>
      <c r="S193" s="53" t="s">
        <v>936</v>
      </c>
      <c r="T193" s="52" t="s">
        <v>966</v>
      </c>
      <c r="W193" s="50" t="str">
        <f t="array" ref="W193">IF($V$2=0,"",IFERROR(INDEX($B$3:$C$520,SMALL(IF($B$3:$B$520=$V$2,ROW($B$3:$B$520)-2),ROW(B191)),2),""))</f>
        <v/>
      </c>
      <c r="AL193" s="87" t="str">
        <f t="array" ref="AL193">IF($AK$2=0,"",IFERROR(INDEX($N$3:$O$499,SMALL(IF($N$3:$N$499=$AK$2,ROW($N$3:$N$499)-2),ROW(N191)),2),""))</f>
        <v/>
      </c>
      <c r="AO193" s="36"/>
      <c r="AP193" s="80"/>
    </row>
    <row r="194" spans="2:42">
      <c r="B194" s="24" t="s">
        <v>60</v>
      </c>
      <c r="C194" s="24" t="s">
        <v>782</v>
      </c>
      <c r="N194" s="92" t="s">
        <v>272</v>
      </c>
      <c r="O194" s="92" t="s">
        <v>623</v>
      </c>
      <c r="P194" s="93" t="s">
        <v>1057</v>
      </c>
      <c r="R194" s="52" t="s">
        <v>60</v>
      </c>
      <c r="S194" s="53" t="s">
        <v>928</v>
      </c>
      <c r="T194" s="52" t="s">
        <v>966</v>
      </c>
      <c r="W194" s="50" t="str">
        <f t="array" ref="W194">IF($V$2=0,"",IFERROR(INDEX($B$3:$C$520,SMALL(IF($B$3:$B$520=$V$2,ROW($B$3:$B$520)-2),ROW(B192)),2),""))</f>
        <v/>
      </c>
      <c r="AL194" s="87" t="str">
        <f t="array" ref="AL194">IF($AK$2=0,"",IFERROR(INDEX($N$3:$O$499,SMALL(IF($N$3:$N$499=$AK$2,ROW($N$3:$N$499)-2),ROW(N192)),2),""))</f>
        <v/>
      </c>
      <c r="AO194" s="36"/>
      <c r="AP194" s="80"/>
    </row>
    <row r="195" spans="2:42">
      <c r="B195" s="24" t="s">
        <v>60</v>
      </c>
      <c r="C195" s="24" t="s">
        <v>783</v>
      </c>
      <c r="N195" s="92" t="s">
        <v>92</v>
      </c>
      <c r="O195" s="92" t="s">
        <v>467</v>
      </c>
      <c r="P195" s="93" t="s">
        <v>1057</v>
      </c>
      <c r="R195" s="52" t="s">
        <v>60</v>
      </c>
      <c r="S195" s="53" t="s">
        <v>926</v>
      </c>
      <c r="T195" s="52" t="s">
        <v>966</v>
      </c>
      <c r="W195" s="50" t="str">
        <f t="array" ref="W195">IF($V$2=0,"",IFERROR(INDEX($B$3:$C$520,SMALL(IF($B$3:$B$520=$V$2,ROW($B$3:$B$520)-2),ROW(B193)),2),""))</f>
        <v/>
      </c>
      <c r="AL195" s="87" t="str">
        <f t="array" ref="AL195">IF($AK$2=0,"",IFERROR(INDEX($N$3:$O$499,SMALL(IF($N$3:$N$499=$AK$2,ROW($N$3:$N$499)-2),ROW(N193)),2),""))</f>
        <v/>
      </c>
      <c r="AO195" s="36"/>
      <c r="AP195" s="80"/>
    </row>
    <row r="196" spans="2:42">
      <c r="B196" s="24" t="s">
        <v>60</v>
      </c>
      <c r="C196" s="24" t="s">
        <v>784</v>
      </c>
      <c r="N196" s="92" t="s">
        <v>163</v>
      </c>
      <c r="O196" s="92" t="s">
        <v>510</v>
      </c>
      <c r="P196" s="93" t="s">
        <v>1057</v>
      </c>
      <c r="R196" s="52" t="s">
        <v>60</v>
      </c>
      <c r="S196" s="53" t="s">
        <v>937</v>
      </c>
      <c r="T196" s="52" t="s">
        <v>966</v>
      </c>
      <c r="W196" s="50" t="str">
        <f t="array" ref="W196">IF($V$2=0,"",IFERROR(INDEX($B$3:$C$520,SMALL(IF($B$3:$B$520=$V$2,ROW($B$3:$B$520)-2),ROW(B194)),2),""))</f>
        <v/>
      </c>
      <c r="AL196" s="87" t="str">
        <f t="array" ref="AL196">IF($AK$2=0,"",IFERROR(INDEX($N$3:$O$499,SMALL(IF($N$3:$N$499=$AK$2,ROW($N$3:$N$499)-2),ROW(N194)),2),""))</f>
        <v/>
      </c>
      <c r="AO196" s="36"/>
      <c r="AP196" s="80"/>
    </row>
    <row r="197" spans="2:42">
      <c r="B197" s="24" t="s">
        <v>60</v>
      </c>
      <c r="C197" s="24" t="s">
        <v>785</v>
      </c>
      <c r="N197" s="92" t="s">
        <v>163</v>
      </c>
      <c r="O197" s="92" t="s">
        <v>500</v>
      </c>
      <c r="P197" s="93" t="s">
        <v>1057</v>
      </c>
      <c r="R197" s="52" t="s">
        <v>60</v>
      </c>
      <c r="S197" s="53" t="s">
        <v>939</v>
      </c>
      <c r="T197" s="52" t="s">
        <v>911</v>
      </c>
      <c r="W197" s="50" t="str">
        <f t="array" ref="W197">IF($V$2=0,"",IFERROR(INDEX($B$3:$C$520,SMALL(IF($B$3:$B$520=$V$2,ROW($B$3:$B$520)-2),ROW(B195)),2),""))</f>
        <v/>
      </c>
      <c r="AL197" s="87" t="str">
        <f t="array" ref="AL197">IF($AK$2=0,"",IFERROR(INDEX($N$3:$O$499,SMALL(IF($N$3:$N$499=$AK$2,ROW($N$3:$N$499)-2),ROW(N195)),2),""))</f>
        <v/>
      </c>
      <c r="AO197" s="36"/>
      <c r="AP197" s="80"/>
    </row>
    <row r="198" spans="2:42">
      <c r="B198" s="24" t="s">
        <v>60</v>
      </c>
      <c r="C198" s="24" t="s">
        <v>36</v>
      </c>
      <c r="N198" s="92" t="s">
        <v>60</v>
      </c>
      <c r="O198" s="92" t="s">
        <v>547</v>
      </c>
      <c r="P198" s="93" t="s">
        <v>1057</v>
      </c>
      <c r="R198" s="52" t="s">
        <v>60</v>
      </c>
      <c r="S198" s="53" t="s">
        <v>954</v>
      </c>
      <c r="T198" s="52" t="s">
        <v>911</v>
      </c>
      <c r="W198" s="50" t="str">
        <f t="array" ref="W198">IF($V$2=0,"",IFERROR(INDEX($B$3:$C$520,SMALL(IF($B$3:$B$520=$V$2,ROW($B$3:$B$520)-2),ROW(B196)),2),""))</f>
        <v/>
      </c>
      <c r="AL198" s="87" t="str">
        <f t="array" ref="AL198">IF($AK$2=0,"",IFERROR(INDEX($N$3:$O$499,SMALL(IF($N$3:$N$499=$AK$2,ROW($N$3:$N$499)-2),ROW(N196)),2),""))</f>
        <v/>
      </c>
      <c r="AO198" s="36"/>
      <c r="AP198" s="80"/>
    </row>
    <row r="199" spans="2:42">
      <c r="B199" s="24" t="s">
        <v>60</v>
      </c>
      <c r="C199" s="24" t="s">
        <v>37</v>
      </c>
      <c r="N199" s="92" t="s">
        <v>60</v>
      </c>
      <c r="O199" s="92" t="s">
        <v>548</v>
      </c>
      <c r="P199" s="93" t="s">
        <v>1057</v>
      </c>
      <c r="R199" s="52" t="s">
        <v>60</v>
      </c>
      <c r="S199" s="53" t="s">
        <v>940</v>
      </c>
      <c r="T199" s="52" t="s">
        <v>911</v>
      </c>
      <c r="W199" s="50" t="str">
        <f t="array" ref="W199">IF($V$2=0,"",IFERROR(INDEX($B$3:$C$520,SMALL(IF($B$3:$B$520=$V$2,ROW($B$3:$B$520)-2),ROW(B197)),2),""))</f>
        <v/>
      </c>
      <c r="AL199" s="87" t="str">
        <f t="array" ref="AL199">IF($AK$2=0,"",IFERROR(INDEX($N$3:$O$499,SMALL(IF($N$3:$N$499=$AK$2,ROW($N$3:$N$499)-2),ROW(N197)),2),""))</f>
        <v/>
      </c>
      <c r="AO199" s="36"/>
      <c r="AP199" s="80"/>
    </row>
    <row r="200" spans="2:42">
      <c r="B200" s="24" t="s">
        <v>92</v>
      </c>
      <c r="C200" s="24" t="s">
        <v>72</v>
      </c>
      <c r="N200" s="92" t="s">
        <v>163</v>
      </c>
      <c r="O200" s="92" t="s">
        <v>488</v>
      </c>
      <c r="P200" s="93" t="s">
        <v>1057</v>
      </c>
      <c r="R200" s="52" t="s">
        <v>60</v>
      </c>
      <c r="S200" s="53" t="s">
        <v>948</v>
      </c>
      <c r="T200" s="52" t="s">
        <v>911</v>
      </c>
      <c r="W200" s="50" t="str">
        <f t="array" ref="W200">IF($V$2=0,"",IFERROR(INDEX($B$3:$C$520,SMALL(IF($B$3:$B$520=$V$2,ROW($B$3:$B$520)-2),ROW(B198)),2),""))</f>
        <v/>
      </c>
      <c r="AL200" s="87" t="str">
        <f t="array" ref="AL200">IF($AK$2=0,"",IFERROR(INDEX($N$3:$O$499,SMALL(IF($N$3:$N$499=$AK$2,ROW($N$3:$N$499)-2),ROW(N198)),2),""))</f>
        <v/>
      </c>
      <c r="AO200" s="36"/>
      <c r="AP200" s="80"/>
    </row>
    <row r="201" spans="2:42">
      <c r="B201" s="24" t="s">
        <v>92</v>
      </c>
      <c r="C201" s="24" t="s">
        <v>73</v>
      </c>
      <c r="N201" s="92" t="s">
        <v>163</v>
      </c>
      <c r="O201" s="92" t="s">
        <v>513</v>
      </c>
      <c r="P201" s="93" t="s">
        <v>1057</v>
      </c>
      <c r="R201" s="52" t="s">
        <v>60</v>
      </c>
      <c r="S201" s="53" t="s">
        <v>941</v>
      </c>
      <c r="T201" s="52" t="s">
        <v>911</v>
      </c>
      <c r="W201" s="50" t="str">
        <f t="array" ref="W201">IF($V$2=0,"",IFERROR(INDEX($B$3:$C$520,SMALL(IF($B$3:$B$520=$V$2,ROW($B$3:$B$520)-2),ROW(B199)),2),""))</f>
        <v/>
      </c>
      <c r="AL201" s="87" t="str">
        <f t="array" ref="AL201">IF($AK$2=0,"",IFERROR(INDEX($N$3:$O$499,SMALL(IF($N$3:$N$499=$AK$2,ROW($N$3:$N$499)-2),ROW(N199)),2),""))</f>
        <v/>
      </c>
      <c r="AO201" s="36"/>
      <c r="AP201" s="80"/>
    </row>
    <row r="202" spans="2:42">
      <c r="B202" s="24" t="s">
        <v>92</v>
      </c>
      <c r="C202" s="24" t="s">
        <v>74</v>
      </c>
      <c r="N202" s="92" t="s">
        <v>163</v>
      </c>
      <c r="O202" s="92" t="s">
        <v>514</v>
      </c>
      <c r="P202" s="93" t="s">
        <v>1057</v>
      </c>
      <c r="R202" s="52" t="s">
        <v>60</v>
      </c>
      <c r="S202" s="53" t="s">
        <v>905</v>
      </c>
      <c r="T202" s="52" t="s">
        <v>912</v>
      </c>
      <c r="W202" s="50" t="str">
        <f t="array" ref="W202">IF($V$2=0,"",IFERROR(INDEX($B$3:$C$520,SMALL(IF($B$3:$B$520=$V$2,ROW($B$3:$B$520)-2),ROW(B200)),2),""))</f>
        <v/>
      </c>
      <c r="AL202" s="87" t="str">
        <f t="array" ref="AL202">IF($AK$2=0,"",IFERROR(INDEX($N$3:$O$499,SMALL(IF($N$3:$N$499=$AK$2,ROW($N$3:$N$499)-2),ROW(N200)),2),""))</f>
        <v/>
      </c>
      <c r="AO202" s="36"/>
      <c r="AP202" s="80"/>
    </row>
    <row r="203" spans="2:42">
      <c r="B203" s="24" t="s">
        <v>92</v>
      </c>
      <c r="C203" s="24" t="s">
        <v>75</v>
      </c>
      <c r="N203" s="92" t="s">
        <v>163</v>
      </c>
      <c r="O203" s="92" t="s">
        <v>515</v>
      </c>
      <c r="P203" s="93" t="s">
        <v>1057</v>
      </c>
      <c r="R203" s="52" t="s">
        <v>60</v>
      </c>
      <c r="S203" s="53" t="s">
        <v>200</v>
      </c>
      <c r="T203" s="52" t="s">
        <v>912</v>
      </c>
      <c r="W203" s="50" t="str">
        <f t="array" ref="W203">IF($V$2=0,"",IFERROR(INDEX($B$3:$C$520,SMALL(IF($B$3:$B$520=$V$2,ROW($B$3:$B$520)-2),ROW(B201)),2),""))</f>
        <v/>
      </c>
      <c r="AL203" s="87" t="str">
        <f t="array" ref="AL203">IF($AK$2=0,"",IFERROR(INDEX($N$3:$O$499,SMALL(IF($N$3:$N$499=$AK$2,ROW($N$3:$N$499)-2),ROW(N201)),2),""))</f>
        <v/>
      </c>
      <c r="AO203" s="36"/>
      <c r="AP203" s="80"/>
    </row>
    <row r="204" spans="2:42">
      <c r="B204" s="24" t="s">
        <v>92</v>
      </c>
      <c r="C204" s="24" t="s">
        <v>76</v>
      </c>
      <c r="N204" s="92" t="s">
        <v>163</v>
      </c>
      <c r="O204" s="92" t="s">
        <v>516</v>
      </c>
      <c r="P204" s="93" t="s">
        <v>1057</v>
      </c>
      <c r="R204" s="52" t="s">
        <v>60</v>
      </c>
      <c r="S204" s="53" t="s">
        <v>906</v>
      </c>
      <c r="T204" s="52" t="s">
        <v>912</v>
      </c>
      <c r="W204" s="50" t="str">
        <f t="array" ref="W204">IF($V$2=0,"",IFERROR(INDEX($B$3:$C$520,SMALL(IF($B$3:$B$520=$V$2,ROW($B$3:$B$520)-2),ROW(B202)),2),""))</f>
        <v/>
      </c>
      <c r="AL204" s="87" t="str">
        <f t="array" ref="AL204">IF($AK$2=0,"",IFERROR(INDEX($N$3:$O$499,SMALL(IF($N$3:$N$499=$AK$2,ROW($N$3:$N$499)-2),ROW(N202)),2),""))</f>
        <v/>
      </c>
      <c r="AO204" s="36"/>
      <c r="AP204" s="80"/>
    </row>
    <row r="205" spans="2:42">
      <c r="B205" s="24" t="s">
        <v>92</v>
      </c>
      <c r="C205" s="24" t="s">
        <v>77</v>
      </c>
      <c r="N205" s="92" t="s">
        <v>163</v>
      </c>
      <c r="O205" s="92" t="s">
        <v>518</v>
      </c>
      <c r="P205" s="93" t="s">
        <v>1057</v>
      </c>
      <c r="R205" s="52" t="s">
        <v>60</v>
      </c>
      <c r="S205" s="53" t="s">
        <v>943</v>
      </c>
      <c r="T205" s="52" t="s">
        <v>912</v>
      </c>
      <c r="W205" s="50" t="str">
        <f t="array" ref="W205">IF($V$2=0,"",IFERROR(INDEX($B$3:$C$520,SMALL(IF($B$3:$B$520=$V$2,ROW($B$3:$B$520)-2),ROW(B203)),2),""))</f>
        <v/>
      </c>
      <c r="AL205" s="87" t="str">
        <f t="array" ref="AL205">IF($AK$2=0,"",IFERROR(INDEX($N$3:$O$499,SMALL(IF($N$3:$N$499=$AK$2,ROW($N$3:$N$499)-2),ROW(N203)),2),""))</f>
        <v/>
      </c>
      <c r="AO205" s="36"/>
      <c r="AP205" s="80"/>
    </row>
    <row r="206" spans="2:42">
      <c r="B206" s="24" t="s">
        <v>92</v>
      </c>
      <c r="C206" s="24" t="s">
        <v>78</v>
      </c>
      <c r="N206" s="92" t="s">
        <v>163</v>
      </c>
      <c r="O206" s="92" t="s">
        <v>519</v>
      </c>
      <c r="P206" s="93" t="s">
        <v>1057</v>
      </c>
      <c r="R206" s="52" t="s">
        <v>60</v>
      </c>
      <c r="S206" s="53" t="s">
        <v>901</v>
      </c>
      <c r="T206" s="52" t="s">
        <v>429</v>
      </c>
      <c r="W206" s="50" t="str">
        <f t="array" ref="W206">IF($V$2=0,"",IFERROR(INDEX($B$3:$C$520,SMALL(IF($B$3:$B$520=$V$2,ROW($B$3:$B$520)-2),ROW(B204)),2),""))</f>
        <v/>
      </c>
      <c r="AL206" s="87" t="str">
        <f t="array" ref="AL206">IF($AK$2=0,"",IFERROR(INDEX($N$3:$O$499,SMALL(IF($N$3:$N$499=$AK$2,ROW($N$3:$N$499)-2),ROW(N204)),2),""))</f>
        <v/>
      </c>
      <c r="AO206" s="36"/>
      <c r="AP206" s="80"/>
    </row>
    <row r="207" spans="2:42">
      <c r="B207" s="24" t="s">
        <v>92</v>
      </c>
      <c r="C207" s="24" t="s">
        <v>79</v>
      </c>
      <c r="N207" s="92" t="s">
        <v>163</v>
      </c>
      <c r="O207" s="92" t="s">
        <v>490</v>
      </c>
      <c r="P207" s="93" t="s">
        <v>1057</v>
      </c>
      <c r="R207" s="52" t="s">
        <v>60</v>
      </c>
      <c r="S207" s="53" t="s">
        <v>907</v>
      </c>
      <c r="T207" s="52" t="s">
        <v>429</v>
      </c>
      <c r="W207" s="50" t="str">
        <f t="array" ref="W207">IF($V$2=0,"",IFERROR(INDEX($B$3:$C$520,SMALL(IF($B$3:$B$520=$V$2,ROW($B$3:$B$520)-2),ROW(B205)),2),""))</f>
        <v/>
      </c>
      <c r="AL207" s="87" t="str">
        <f t="array" ref="AL207">IF($AK$2=0,"",IFERROR(INDEX($N$3:$O$499,SMALL(IF($N$3:$N$499=$AK$2,ROW($N$3:$N$499)-2),ROW(N205)),2),""))</f>
        <v/>
      </c>
      <c r="AO207" s="36"/>
      <c r="AP207" s="80"/>
    </row>
    <row r="208" spans="2:42">
      <c r="B208" s="24" t="s">
        <v>92</v>
      </c>
      <c r="C208" s="24" t="s">
        <v>80</v>
      </c>
      <c r="N208" s="92" t="s">
        <v>163</v>
      </c>
      <c r="O208" s="92" t="s">
        <v>491</v>
      </c>
      <c r="P208" s="93" t="s">
        <v>1057</v>
      </c>
      <c r="R208" s="52" t="s">
        <v>60</v>
      </c>
      <c r="S208" s="53" t="s">
        <v>945</v>
      </c>
      <c r="T208" s="52" t="s">
        <v>429</v>
      </c>
      <c r="W208" s="50" t="str">
        <f t="array" ref="W208">IF($V$2=0,"",IFERROR(INDEX($B$3:$C$520,SMALL(IF($B$3:$B$520=$V$2,ROW($B$3:$B$520)-2),ROW(B206)),2),""))</f>
        <v/>
      </c>
      <c r="AL208" s="87" t="str">
        <f t="array" ref="AL208">IF($AK$2=0,"",IFERROR(INDEX($N$3:$O$499,SMALL(IF($N$3:$N$499=$AK$2,ROW($N$3:$N$499)-2),ROW(N206)),2),""))</f>
        <v/>
      </c>
      <c r="AO208" s="36"/>
      <c r="AP208" s="80"/>
    </row>
    <row r="209" spans="2:42">
      <c r="B209" s="24" t="s">
        <v>92</v>
      </c>
      <c r="C209" s="24" t="s">
        <v>81</v>
      </c>
      <c r="N209" s="92" t="s">
        <v>163</v>
      </c>
      <c r="O209" s="92" t="s">
        <v>492</v>
      </c>
      <c r="P209" s="93" t="s">
        <v>1057</v>
      </c>
      <c r="R209" s="52" t="s">
        <v>60</v>
      </c>
      <c r="S209" s="53" t="s">
        <v>436</v>
      </c>
      <c r="T209" s="52" t="s">
        <v>429</v>
      </c>
      <c r="W209" s="50" t="str">
        <f t="array" ref="W209">IF($V$2=0,"",IFERROR(INDEX($B$3:$C$520,SMALL(IF($B$3:$B$520=$V$2,ROW($B$3:$B$520)-2),ROW(B207)),2),""))</f>
        <v/>
      </c>
      <c r="AL209" s="87" t="str">
        <f t="array" ref="AL209">IF($AK$2=0,"",IFERROR(INDEX($N$3:$O$499,SMALL(IF($N$3:$N$499=$AK$2,ROW($N$3:$N$499)-2),ROW(N207)),2),""))</f>
        <v/>
      </c>
      <c r="AO209" s="36"/>
      <c r="AP209" s="80"/>
    </row>
    <row r="210" spans="2:42">
      <c r="B210" s="24" t="s">
        <v>92</v>
      </c>
      <c r="C210" s="24" t="s">
        <v>82</v>
      </c>
      <c r="N210" s="92" t="s">
        <v>163</v>
      </c>
      <c r="O210" s="92" t="s">
        <v>493</v>
      </c>
      <c r="P210" s="93" t="s">
        <v>1057</v>
      </c>
      <c r="R210" s="52" t="s">
        <v>60</v>
      </c>
      <c r="S210" s="53" t="s">
        <v>946</v>
      </c>
      <c r="T210" s="52" t="s">
        <v>429</v>
      </c>
      <c r="W210" s="50" t="str">
        <f t="array" ref="W210">IF($V$2=0,"",IFERROR(INDEX($B$3:$C$520,SMALL(IF($B$3:$B$520=$V$2,ROW($B$3:$B$520)-2),ROW(B208)),2),""))</f>
        <v/>
      </c>
      <c r="AL210" s="87" t="str">
        <f t="array" ref="AL210">IF($AK$2=0,"",IFERROR(INDEX($N$3:$O$499,SMALL(IF($N$3:$N$499=$AK$2,ROW($N$3:$N$499)-2),ROW(N208)),2),""))</f>
        <v/>
      </c>
      <c r="AO210" s="36"/>
      <c r="AP210" s="80"/>
    </row>
    <row r="211" spans="2:42">
      <c r="B211" s="24" t="s">
        <v>92</v>
      </c>
      <c r="C211" s="24" t="s">
        <v>83</v>
      </c>
      <c r="N211" s="92" t="s">
        <v>163</v>
      </c>
      <c r="O211" s="92" t="s">
        <v>494</v>
      </c>
      <c r="P211" s="93" t="s">
        <v>1057</v>
      </c>
      <c r="R211" s="52" t="s">
        <v>60</v>
      </c>
      <c r="S211" s="53" t="s">
        <v>949</v>
      </c>
      <c r="T211" s="52" t="s">
        <v>429</v>
      </c>
      <c r="W211" s="50" t="str">
        <f t="array" ref="W211">IF($V$2=0,"",IFERROR(INDEX($B$3:$C$520,SMALL(IF($B$3:$B$520=$V$2,ROW($B$3:$B$520)-2),ROW(B209)),2),""))</f>
        <v/>
      </c>
      <c r="AL211" s="87" t="str">
        <f t="array" ref="AL211">IF($AK$2=0,"",IFERROR(INDEX($N$3:$O$499,SMALL(IF($N$3:$N$499=$AK$2,ROW($N$3:$N$499)-2),ROW(N209)),2),""))</f>
        <v/>
      </c>
      <c r="AO211" s="36"/>
      <c r="AP211" s="80"/>
    </row>
    <row r="212" spans="2:42">
      <c r="B212" s="24" t="s">
        <v>92</v>
      </c>
      <c r="C212" s="24" t="s">
        <v>84</v>
      </c>
      <c r="N212" s="92" t="s">
        <v>163</v>
      </c>
      <c r="O212" s="92" t="s">
        <v>495</v>
      </c>
      <c r="P212" s="93" t="s">
        <v>1057</v>
      </c>
      <c r="R212" s="52" t="s">
        <v>163</v>
      </c>
      <c r="S212" s="53" t="s">
        <v>893</v>
      </c>
      <c r="T212" s="52" t="s">
        <v>908</v>
      </c>
      <c r="W212" s="50" t="str">
        <f t="array" ref="W212">IF($V$2=0,"",IFERROR(INDEX($B$3:$C$520,SMALL(IF($B$3:$B$520=$V$2,ROW($B$3:$B$520)-2),ROW(B210)),2),""))</f>
        <v/>
      </c>
      <c r="AL212" s="87" t="str">
        <f t="array" ref="AL212">IF($AK$2=0,"",IFERROR(INDEX($N$3:$O$499,SMALL(IF($N$3:$N$499=$AK$2,ROW($N$3:$N$499)-2),ROW(N210)),2),""))</f>
        <v/>
      </c>
      <c r="AO212" s="36"/>
      <c r="AP212" s="80"/>
    </row>
    <row r="213" spans="2:42">
      <c r="B213" s="24" t="s">
        <v>92</v>
      </c>
      <c r="C213" s="24" t="s">
        <v>85</v>
      </c>
      <c r="N213" s="92" t="s">
        <v>163</v>
      </c>
      <c r="O213" s="92" t="s">
        <v>520</v>
      </c>
      <c r="P213" s="93" t="s">
        <v>1057</v>
      </c>
      <c r="R213" s="52" t="s">
        <v>163</v>
      </c>
      <c r="S213" s="53" t="s">
        <v>915</v>
      </c>
      <c r="T213" s="52" t="s">
        <v>908</v>
      </c>
      <c r="W213" s="50" t="str">
        <f t="array" ref="W213">IF($V$2=0,"",IFERROR(INDEX($B$3:$C$520,SMALL(IF($B$3:$B$520=$V$2,ROW($B$3:$B$520)-2),ROW(B211)),2),""))</f>
        <v/>
      </c>
      <c r="AL213" s="87" t="str">
        <f t="array" ref="AL213">IF($AK$2=0,"",IFERROR(INDEX($N$3:$O$499,SMALL(IF($N$3:$N$499=$AK$2,ROW($N$3:$N$499)-2),ROW(N211)),2),""))</f>
        <v/>
      </c>
      <c r="AO213" s="36"/>
      <c r="AP213" s="80"/>
    </row>
    <row r="214" spans="2:42">
      <c r="B214" s="24" t="s">
        <v>92</v>
      </c>
      <c r="C214" s="24" t="s">
        <v>86</v>
      </c>
      <c r="N214" s="92" t="s">
        <v>163</v>
      </c>
      <c r="O214" s="92" t="s">
        <v>521</v>
      </c>
      <c r="P214" s="93" t="s">
        <v>1057</v>
      </c>
      <c r="R214" s="52" t="s">
        <v>163</v>
      </c>
      <c r="S214" s="53" t="s">
        <v>918</v>
      </c>
      <c r="T214" s="52" t="s">
        <v>908</v>
      </c>
      <c r="W214" s="50" t="str">
        <f t="array" ref="W214">IF($V$2=0,"",IFERROR(INDEX($B$3:$C$520,SMALL(IF($B$3:$B$520=$V$2,ROW($B$3:$B$520)-2),ROW(B212)),2),""))</f>
        <v/>
      </c>
      <c r="AL214" s="87" t="str">
        <f t="array" ref="AL214">IF($AK$2=0,"",IFERROR(INDEX($N$3:$O$499,SMALL(IF($N$3:$N$499=$AK$2,ROW($N$3:$N$499)-2),ROW(N212)),2),""))</f>
        <v/>
      </c>
      <c r="AO214" s="36"/>
      <c r="AP214" s="80"/>
    </row>
    <row r="215" spans="2:42">
      <c r="B215" s="24" t="s">
        <v>92</v>
      </c>
      <c r="C215" s="24" t="s">
        <v>87</v>
      </c>
      <c r="N215" s="92" t="s">
        <v>163</v>
      </c>
      <c r="O215" s="92" t="s">
        <v>496</v>
      </c>
      <c r="P215" s="93" t="s">
        <v>1057</v>
      </c>
      <c r="R215" s="52" t="s">
        <v>163</v>
      </c>
      <c r="S215" s="53" t="s">
        <v>919</v>
      </c>
      <c r="T215" s="52" t="s">
        <v>908</v>
      </c>
      <c r="W215" s="50" t="str">
        <f t="array" ref="W215">IF($V$2=0,"",IFERROR(INDEX($B$3:$C$520,SMALL(IF($B$3:$B$520=$V$2,ROW($B$3:$B$520)-2),ROW(B213)),2),""))</f>
        <v/>
      </c>
      <c r="AL215" s="87" t="str">
        <f t="array" ref="AL215">IF($AK$2=0,"",IFERROR(INDEX($N$3:$O$499,SMALL(IF($N$3:$N$499=$AK$2,ROW($N$3:$N$499)-2),ROW(N213)),2),""))</f>
        <v/>
      </c>
      <c r="AO215" s="36"/>
      <c r="AP215" s="80"/>
    </row>
    <row r="216" spans="2:42">
      <c r="B216" s="24" t="s">
        <v>92</v>
      </c>
      <c r="C216" s="24" t="s">
        <v>88</v>
      </c>
      <c r="N216" s="92" t="s">
        <v>163</v>
      </c>
      <c r="O216" s="92" t="s">
        <v>497</v>
      </c>
      <c r="P216" s="93" t="s">
        <v>1057</v>
      </c>
      <c r="R216" s="52" t="s">
        <v>163</v>
      </c>
      <c r="S216" s="53" t="s">
        <v>920</v>
      </c>
      <c r="T216" s="52" t="s">
        <v>908</v>
      </c>
      <c r="W216" s="50" t="str">
        <f t="array" ref="W216">IF($V$2=0,"",IFERROR(INDEX($B$3:$C$520,SMALL(IF($B$3:$B$520=$V$2,ROW($B$3:$B$520)-2),ROW(B214)),2),""))</f>
        <v/>
      </c>
      <c r="AL216" s="87" t="str">
        <f t="array" ref="AL216">IF($AK$2=0,"",IFERROR(INDEX($N$3:$O$499,SMALL(IF($N$3:$N$499=$AK$2,ROW($N$3:$N$499)-2),ROW(N214)),2),""))</f>
        <v/>
      </c>
      <c r="AO216" s="36"/>
      <c r="AP216" s="80"/>
    </row>
    <row r="217" spans="2:42">
      <c r="B217" s="24" t="s">
        <v>92</v>
      </c>
      <c r="C217" s="24" t="s">
        <v>89</v>
      </c>
      <c r="N217" s="92" t="s">
        <v>163</v>
      </c>
      <c r="O217" s="92" t="s">
        <v>498</v>
      </c>
      <c r="P217" s="93" t="s">
        <v>1057</v>
      </c>
      <c r="R217" s="52" t="s">
        <v>163</v>
      </c>
      <c r="S217" s="53" t="s">
        <v>921</v>
      </c>
      <c r="T217" s="52" t="s">
        <v>908</v>
      </c>
      <c r="W217" s="50" t="str">
        <f t="array" ref="W217">IF($V$2=0,"",IFERROR(INDEX($B$3:$C$520,SMALL(IF($B$3:$B$520=$V$2,ROW($B$3:$B$520)-2),ROW(B215)),2),""))</f>
        <v/>
      </c>
      <c r="AL217" s="87" t="str">
        <f t="array" ref="AL217">IF($AK$2=0,"",IFERROR(INDEX($N$3:$O$499,SMALL(IF($N$3:$N$499=$AK$2,ROW($N$3:$N$499)-2),ROW(N215)),2),""))</f>
        <v/>
      </c>
      <c r="AO217" s="36"/>
      <c r="AP217" s="80"/>
    </row>
    <row r="218" spans="2:42">
      <c r="B218" s="24" t="s">
        <v>92</v>
      </c>
      <c r="C218" s="24" t="s">
        <v>90</v>
      </c>
      <c r="N218" s="92" t="s">
        <v>163</v>
      </c>
      <c r="O218" s="92" t="s">
        <v>505</v>
      </c>
      <c r="P218" s="93" t="s">
        <v>1057</v>
      </c>
      <c r="R218" s="52" t="s">
        <v>163</v>
      </c>
      <c r="S218" s="53" t="s">
        <v>893</v>
      </c>
      <c r="T218" s="52" t="s">
        <v>909</v>
      </c>
      <c r="W218" s="50" t="str">
        <f t="array" ref="W218">IF($V$2=0,"",IFERROR(INDEX($B$3:$C$520,SMALL(IF($B$3:$B$520=$V$2,ROW($B$3:$B$520)-2),ROW(B216)),2),""))</f>
        <v/>
      </c>
      <c r="AL218" s="87" t="str">
        <f t="array" ref="AL218">IF($AK$2=0,"",IFERROR(INDEX($N$3:$O$499,SMALL(IF($N$3:$N$499=$AK$2,ROW($N$3:$N$499)-2),ROW(N216)),2),""))</f>
        <v/>
      </c>
      <c r="AO218" s="36"/>
      <c r="AP218" s="80"/>
    </row>
    <row r="219" spans="2:42">
      <c r="B219" s="24" t="s">
        <v>92</v>
      </c>
      <c r="C219" s="24" t="s">
        <v>91</v>
      </c>
      <c r="N219" s="92" t="s">
        <v>163</v>
      </c>
      <c r="O219" s="92" t="s">
        <v>501</v>
      </c>
      <c r="P219" s="93" t="s">
        <v>1057</v>
      </c>
      <c r="R219" s="52" t="s">
        <v>163</v>
      </c>
      <c r="S219" s="53" t="s">
        <v>963</v>
      </c>
      <c r="T219" s="52" t="s">
        <v>909</v>
      </c>
      <c r="W219" s="50" t="str">
        <f t="array" ref="W219">IF($V$2=0,"",IFERROR(INDEX($B$3:$C$520,SMALL(IF($B$3:$B$520=$V$2,ROW($B$3:$B$520)-2),ROW(B217)),2),""))</f>
        <v/>
      </c>
      <c r="AL219" s="87" t="str">
        <f t="array" ref="AL219">IF($AK$2=0,"",IFERROR(INDEX($N$3:$O$499,SMALL(IF($N$3:$N$499=$AK$2,ROW($N$3:$N$499)-2),ROW(N217)),2),""))</f>
        <v/>
      </c>
      <c r="AO219" s="36"/>
      <c r="AP219" s="80"/>
    </row>
    <row r="220" spans="2:42">
      <c r="B220" s="24" t="s">
        <v>132</v>
      </c>
      <c r="C220" s="24" t="s">
        <v>93</v>
      </c>
      <c r="N220" s="92" t="s">
        <v>163</v>
      </c>
      <c r="O220" s="92" t="s">
        <v>499</v>
      </c>
      <c r="P220" s="93" t="s">
        <v>1057</v>
      </c>
      <c r="R220" s="52" t="s">
        <v>163</v>
      </c>
      <c r="S220" s="53" t="s">
        <v>923</v>
      </c>
      <c r="T220" s="52" t="s">
        <v>910</v>
      </c>
      <c r="W220" s="50" t="str">
        <f t="array" ref="W220">IF($V$2=0,"",IFERROR(INDEX($B$3:$C$520,SMALL(IF($B$3:$B$520=$V$2,ROW($B$3:$B$520)-2),ROW(B218)),2),""))</f>
        <v/>
      </c>
      <c r="AL220" s="87" t="str">
        <f t="array" ref="AL220">IF($AK$2=0,"",IFERROR(INDEX($N$3:$O$499,SMALL(IF($N$3:$N$499=$AK$2,ROW($N$3:$N$499)-2),ROW(N218)),2),""))</f>
        <v/>
      </c>
      <c r="AO220" s="36"/>
      <c r="AP220" s="80"/>
    </row>
    <row r="221" spans="2:42">
      <c r="B221" s="24" t="s">
        <v>132</v>
      </c>
      <c r="C221" s="24" t="s">
        <v>94</v>
      </c>
      <c r="N221" s="92" t="s">
        <v>163</v>
      </c>
      <c r="O221" s="92" t="s">
        <v>489</v>
      </c>
      <c r="P221" s="93" t="s">
        <v>1057</v>
      </c>
      <c r="R221" s="52" t="s">
        <v>163</v>
      </c>
      <c r="S221" s="53" t="s">
        <v>925</v>
      </c>
      <c r="T221" s="52" t="s">
        <v>910</v>
      </c>
      <c r="W221" s="50" t="str">
        <f t="array" ref="W221">IF($V$2=0,"",IFERROR(INDEX($B$3:$C$520,SMALL(IF($B$3:$B$520=$V$2,ROW($B$3:$B$520)-2),ROW(B219)),2),""))</f>
        <v/>
      </c>
      <c r="AL221" s="87" t="str">
        <f t="array" ref="AL221">IF($AK$2=0,"",IFERROR(INDEX($N$3:$O$499,SMALL(IF($N$3:$N$499=$AK$2,ROW($N$3:$N$499)-2),ROW(N219)),2),""))</f>
        <v/>
      </c>
      <c r="AO221" s="36"/>
      <c r="AP221" s="80"/>
    </row>
    <row r="222" spans="2:42">
      <c r="B222" s="24" t="s">
        <v>132</v>
      </c>
      <c r="C222" s="24" t="s">
        <v>95</v>
      </c>
      <c r="N222" s="92" t="s">
        <v>163</v>
      </c>
      <c r="O222" s="92" t="s">
        <v>801</v>
      </c>
      <c r="P222" s="93" t="s">
        <v>1057</v>
      </c>
      <c r="R222" s="52" t="s">
        <v>163</v>
      </c>
      <c r="S222" s="53" t="s">
        <v>926</v>
      </c>
      <c r="T222" s="52" t="s">
        <v>910</v>
      </c>
      <c r="W222" s="50" t="str">
        <f t="array" ref="W222">IF($V$2=0,"",IFERROR(INDEX($B$3:$C$520,SMALL(IF($B$3:$B$520=$V$2,ROW($B$3:$B$520)-2),ROW(B220)),2),""))</f>
        <v/>
      </c>
      <c r="AL222" s="87" t="str">
        <f t="array" ref="AL222">IF($AK$2=0,"",IFERROR(INDEX($N$3:$O$499,SMALL(IF($N$3:$N$499=$AK$2,ROW($N$3:$N$499)-2),ROW(N220)),2),""))</f>
        <v/>
      </c>
      <c r="AO222" s="36"/>
      <c r="AP222" s="80"/>
    </row>
    <row r="223" spans="2:42">
      <c r="B223" s="24" t="s">
        <v>132</v>
      </c>
      <c r="C223" s="24" t="s">
        <v>96</v>
      </c>
      <c r="N223" s="92" t="s">
        <v>163</v>
      </c>
      <c r="O223" s="92" t="s">
        <v>802</v>
      </c>
      <c r="P223" s="93" t="s">
        <v>1057</v>
      </c>
      <c r="R223" s="52" t="s">
        <v>163</v>
      </c>
      <c r="S223" s="53" t="s">
        <v>927</v>
      </c>
      <c r="T223" s="52" t="s">
        <v>910</v>
      </c>
      <c r="W223" s="50" t="str">
        <f t="array" ref="W223">IF($V$2=0,"",IFERROR(INDEX($B$3:$C$520,SMALL(IF($B$3:$B$520=$V$2,ROW($B$3:$B$520)-2),ROW(B221)),2),""))</f>
        <v/>
      </c>
      <c r="AL223" s="87" t="str">
        <f t="array" ref="AL223">IF($AK$2=0,"",IFERROR(INDEX($N$3:$O$499,SMALL(IF($N$3:$N$499=$AK$2,ROW($N$3:$N$499)-2),ROW(N221)),2),""))</f>
        <v/>
      </c>
      <c r="AO223" s="36"/>
      <c r="AP223" s="80"/>
    </row>
    <row r="224" spans="2:42">
      <c r="B224" s="24" t="s">
        <v>132</v>
      </c>
      <c r="C224" s="24" t="s">
        <v>97</v>
      </c>
      <c r="N224" s="92" t="s">
        <v>163</v>
      </c>
      <c r="O224" s="92" t="s">
        <v>506</v>
      </c>
      <c r="P224" s="93" t="s">
        <v>1057</v>
      </c>
      <c r="R224" s="52" t="s">
        <v>163</v>
      </c>
      <c r="S224" s="53" t="s">
        <v>928</v>
      </c>
      <c r="T224" s="52" t="s">
        <v>910</v>
      </c>
      <c r="W224" s="50" t="str">
        <f t="array" ref="W224">IF($V$2=0,"",IFERROR(INDEX($B$3:$C$520,SMALL(IF($B$3:$B$520=$V$2,ROW($B$3:$B$520)-2),ROW(B222)),2),""))</f>
        <v/>
      </c>
      <c r="AL224" s="87" t="str">
        <f t="array" ref="AL224">IF($AK$2=0,"",IFERROR(INDEX($N$3:$O$499,SMALL(IF($N$3:$N$499=$AK$2,ROW($N$3:$N$499)-2),ROW(N222)),2),""))</f>
        <v/>
      </c>
      <c r="AO224" s="36"/>
      <c r="AP224" s="80"/>
    </row>
    <row r="225" spans="2:42">
      <c r="B225" s="24" t="s">
        <v>132</v>
      </c>
      <c r="C225" s="24" t="s">
        <v>98</v>
      </c>
      <c r="N225" s="92" t="s">
        <v>163</v>
      </c>
      <c r="O225" s="92" t="s">
        <v>511</v>
      </c>
      <c r="P225" s="93" t="s">
        <v>1057</v>
      </c>
      <c r="R225" s="52" t="s">
        <v>163</v>
      </c>
      <c r="S225" s="53" t="s">
        <v>929</v>
      </c>
      <c r="T225" s="52" t="s">
        <v>910</v>
      </c>
      <c r="W225" s="50" t="str">
        <f t="array" ref="W225">IF($V$2=0,"",IFERROR(INDEX($B$3:$C$520,SMALL(IF($B$3:$B$520=$V$2,ROW($B$3:$B$520)-2),ROW(B223)),2),""))</f>
        <v/>
      </c>
      <c r="AL225" s="87" t="str">
        <f t="array" ref="AL225">IF($AK$2=0,"",IFERROR(INDEX($N$3:$O$499,SMALL(IF($N$3:$N$499=$AK$2,ROW($N$3:$N$499)-2),ROW(N223)),2),""))</f>
        <v/>
      </c>
      <c r="AO225" s="36"/>
      <c r="AP225" s="80"/>
    </row>
    <row r="226" spans="2:42">
      <c r="B226" s="24" t="s">
        <v>132</v>
      </c>
      <c r="C226" s="24" t="s">
        <v>99</v>
      </c>
      <c r="N226" s="92" t="s">
        <v>60</v>
      </c>
      <c r="O226" s="92" t="s">
        <v>552</v>
      </c>
      <c r="P226" s="93" t="s">
        <v>1057</v>
      </c>
      <c r="R226" s="52" t="s">
        <v>163</v>
      </c>
      <c r="S226" s="53" t="s">
        <v>932</v>
      </c>
      <c r="T226" s="52" t="s">
        <v>966</v>
      </c>
      <c r="W226" s="50" t="str">
        <f t="array" ref="W226">IF($V$2=0,"",IFERROR(INDEX($B$3:$C$520,SMALL(IF($B$3:$B$520=$V$2,ROW($B$3:$B$520)-2),ROW(B224)),2),""))</f>
        <v/>
      </c>
      <c r="AL226" s="87" t="str">
        <f t="array" ref="AL226">IF($AK$2=0,"",IFERROR(INDEX($N$3:$O$499,SMALL(IF($N$3:$N$499=$AK$2,ROW($N$3:$N$499)-2),ROW(N224)),2),""))</f>
        <v/>
      </c>
      <c r="AO226" s="36"/>
      <c r="AP226" s="80"/>
    </row>
    <row r="227" spans="2:42">
      <c r="B227" s="24" t="s">
        <v>132</v>
      </c>
      <c r="C227" s="24" t="s">
        <v>100</v>
      </c>
      <c r="N227" s="92" t="s">
        <v>60</v>
      </c>
      <c r="O227" s="92" t="s">
        <v>561</v>
      </c>
      <c r="P227" s="93" t="s">
        <v>1057</v>
      </c>
      <c r="R227" s="52" t="s">
        <v>163</v>
      </c>
      <c r="S227" s="53" t="s">
        <v>927</v>
      </c>
      <c r="T227" s="52" t="s">
        <v>966</v>
      </c>
      <c r="W227" s="50" t="str">
        <f t="array" ref="W227">IF($V$2=0,"",IFERROR(INDEX($B$3:$C$520,SMALL(IF($B$3:$B$520=$V$2,ROW($B$3:$B$520)-2),ROW(B225)),2),""))</f>
        <v/>
      </c>
      <c r="AL227" s="87" t="str">
        <f t="array" ref="AL227">IF($AK$2=0,"",IFERROR(INDEX($N$3:$O$499,SMALL(IF($N$3:$N$499=$AK$2,ROW($N$3:$N$499)-2),ROW(N225)),2),""))</f>
        <v/>
      </c>
      <c r="AO227" s="36"/>
      <c r="AP227" s="80"/>
    </row>
    <row r="228" spans="2:42">
      <c r="B228" s="24" t="s">
        <v>132</v>
      </c>
      <c r="C228" s="24" t="s">
        <v>101</v>
      </c>
      <c r="N228" s="92" t="s">
        <v>60</v>
      </c>
      <c r="O228" s="92" t="s">
        <v>560</v>
      </c>
      <c r="P228" s="93" t="s">
        <v>1057</v>
      </c>
      <c r="R228" s="52" t="s">
        <v>163</v>
      </c>
      <c r="S228" s="53" t="s">
        <v>933</v>
      </c>
      <c r="T228" s="52" t="s">
        <v>966</v>
      </c>
      <c r="W228" s="50" t="str">
        <f t="array" ref="W228">IF($V$2=0,"",IFERROR(INDEX($B$3:$C$520,SMALL(IF($B$3:$B$520=$V$2,ROW($B$3:$B$520)-2),ROW(B226)),2),""))</f>
        <v/>
      </c>
      <c r="AL228" s="87" t="str">
        <f t="array" ref="AL228">IF($AK$2=0,"",IFERROR(INDEX($N$3:$O$499,SMALL(IF($N$3:$N$499=$AK$2,ROW($N$3:$N$499)-2),ROW(N226)),2),""))</f>
        <v/>
      </c>
      <c r="AO228" s="36"/>
      <c r="AP228" s="80"/>
    </row>
    <row r="229" spans="2:42">
      <c r="B229" s="24" t="s">
        <v>132</v>
      </c>
      <c r="C229" s="24" t="s">
        <v>102</v>
      </c>
      <c r="N229" s="92" t="s">
        <v>163</v>
      </c>
      <c r="O229" s="92" t="s">
        <v>522</v>
      </c>
      <c r="P229" s="93" t="s">
        <v>1057</v>
      </c>
      <c r="R229" s="52" t="s">
        <v>163</v>
      </c>
      <c r="S229" s="53" t="s">
        <v>936</v>
      </c>
      <c r="T229" s="52" t="s">
        <v>966</v>
      </c>
      <c r="W229" s="50" t="str">
        <f t="array" ref="W229">IF($V$2=0,"",IFERROR(INDEX($B$3:$C$520,SMALL(IF($B$3:$B$520=$V$2,ROW($B$3:$B$520)-2),ROW(B227)),2),""))</f>
        <v/>
      </c>
      <c r="AL229" s="87" t="str">
        <f t="array" ref="AL229">IF($AK$2=0,"",IFERROR(INDEX($N$3:$O$499,SMALL(IF($N$3:$N$499=$AK$2,ROW($N$3:$N$499)-2),ROW(N227)),2),""))</f>
        <v/>
      </c>
      <c r="AO229" s="36"/>
      <c r="AP229" s="80"/>
    </row>
    <row r="230" spans="2:42">
      <c r="B230" s="24" t="s">
        <v>132</v>
      </c>
      <c r="C230" s="24" t="s">
        <v>103</v>
      </c>
      <c r="N230" s="92" t="s">
        <v>163</v>
      </c>
      <c r="O230" s="92" t="s">
        <v>507</v>
      </c>
      <c r="P230" s="93" t="s">
        <v>1057</v>
      </c>
      <c r="R230" s="52" t="s">
        <v>163</v>
      </c>
      <c r="S230" s="53" t="s">
        <v>928</v>
      </c>
      <c r="T230" s="52" t="s">
        <v>966</v>
      </c>
      <c r="W230" s="50" t="str">
        <f t="array" ref="W230">IF($V$2=0,"",IFERROR(INDEX($B$3:$C$520,SMALL(IF($B$3:$B$520=$V$2,ROW($B$3:$B$520)-2),ROW(B228)),2),""))</f>
        <v/>
      </c>
      <c r="AL230" s="87" t="str">
        <f t="array" ref="AL230">IF($AK$2=0,"",IFERROR(INDEX($N$3:$O$499,SMALL(IF($N$3:$N$499=$AK$2,ROW($N$3:$N$499)-2),ROW(N228)),2),""))</f>
        <v/>
      </c>
      <c r="AO230" s="36"/>
      <c r="AP230" s="80"/>
    </row>
    <row r="231" spans="2:42">
      <c r="B231" s="24" t="s">
        <v>132</v>
      </c>
      <c r="C231" s="24" t="s">
        <v>104</v>
      </c>
      <c r="N231" s="92" t="s">
        <v>60</v>
      </c>
      <c r="O231" s="92" t="s">
        <v>554</v>
      </c>
      <c r="P231" s="93" t="s">
        <v>1057</v>
      </c>
      <c r="R231" s="52" t="s">
        <v>163</v>
      </c>
      <c r="S231" s="53" t="s">
        <v>926</v>
      </c>
      <c r="T231" s="52" t="s">
        <v>966</v>
      </c>
      <c r="W231" s="50" t="str">
        <f t="array" ref="W231">IF($V$2=0,"",IFERROR(INDEX($B$3:$C$520,SMALL(IF($B$3:$B$520=$V$2,ROW($B$3:$B$520)-2),ROW(B229)),2),""))</f>
        <v/>
      </c>
      <c r="AL231" s="87" t="str">
        <f t="array" ref="AL231">IF($AK$2=0,"",IFERROR(INDEX($N$3:$O$499,SMALL(IF($N$3:$N$499=$AK$2,ROW($N$3:$N$499)-2),ROW(N229)),2),""))</f>
        <v/>
      </c>
      <c r="AO231" s="36"/>
      <c r="AP231" s="80"/>
    </row>
    <row r="232" spans="2:42">
      <c r="B232" s="24" t="s">
        <v>132</v>
      </c>
      <c r="C232" s="24" t="s">
        <v>105</v>
      </c>
      <c r="N232" s="92" t="s">
        <v>163</v>
      </c>
      <c r="O232" s="92" t="s">
        <v>803</v>
      </c>
      <c r="P232" s="93" t="s">
        <v>1057</v>
      </c>
      <c r="R232" s="52" t="s">
        <v>163</v>
      </c>
      <c r="S232" s="53" t="s">
        <v>937</v>
      </c>
      <c r="T232" s="52" t="s">
        <v>966</v>
      </c>
      <c r="W232" s="50" t="str">
        <f t="array" ref="W232">IF($V$2=0,"",IFERROR(INDEX($B$3:$C$520,SMALL(IF($B$3:$B$520=$V$2,ROW($B$3:$B$520)-2),ROW(B230)),2),""))</f>
        <v/>
      </c>
      <c r="AL232" s="87" t="str">
        <f t="array" ref="AL232">IF($AK$2=0,"",IFERROR(INDEX($N$3:$O$499,SMALL(IF($N$3:$N$499=$AK$2,ROW($N$3:$N$499)-2),ROW(N230)),2),""))</f>
        <v/>
      </c>
      <c r="AO232" s="36"/>
      <c r="AP232" s="80"/>
    </row>
    <row r="233" spans="2:42">
      <c r="B233" s="24" t="s">
        <v>132</v>
      </c>
      <c r="C233" s="24" t="s">
        <v>106</v>
      </c>
      <c r="N233" s="92" t="s">
        <v>60</v>
      </c>
      <c r="O233" s="92" t="s">
        <v>558</v>
      </c>
      <c r="P233" s="93" t="s">
        <v>1057</v>
      </c>
      <c r="R233" s="52" t="s">
        <v>163</v>
      </c>
      <c r="S233" s="53" t="s">
        <v>939</v>
      </c>
      <c r="T233" s="52" t="s">
        <v>911</v>
      </c>
      <c r="W233" s="50" t="str">
        <f t="array" ref="W233">IF($V$2=0,"",IFERROR(INDEX($B$3:$C$520,SMALL(IF($B$3:$B$520=$V$2,ROW($B$3:$B$520)-2),ROW(B231)),2),""))</f>
        <v/>
      </c>
      <c r="AL233" s="87" t="str">
        <f t="array" ref="AL233">IF($AK$2=0,"",IFERROR(INDEX($N$3:$O$499,SMALL(IF($N$3:$N$499=$AK$2,ROW($N$3:$N$499)-2),ROW(N231)),2),""))</f>
        <v/>
      </c>
      <c r="AO233" s="36"/>
      <c r="AP233" s="80"/>
    </row>
    <row r="234" spans="2:42">
      <c r="B234" s="24" t="s">
        <v>132</v>
      </c>
      <c r="C234" s="24" t="s">
        <v>107</v>
      </c>
      <c r="N234" s="92" t="s">
        <v>92</v>
      </c>
      <c r="O234" s="92" t="s">
        <v>482</v>
      </c>
      <c r="P234" s="93" t="s">
        <v>1057</v>
      </c>
      <c r="R234" s="52" t="s">
        <v>163</v>
      </c>
      <c r="S234" s="53" t="s">
        <v>961</v>
      </c>
      <c r="T234" s="52" t="s">
        <v>911</v>
      </c>
      <c r="W234" s="50" t="str">
        <f t="array" ref="W234">IF($V$2=0,"",IFERROR(INDEX($B$3:$C$520,SMALL(IF($B$3:$B$520=$V$2,ROW($B$3:$B$520)-2),ROW(B232)),2),""))</f>
        <v/>
      </c>
      <c r="AL234" s="87" t="str">
        <f t="array" ref="AL234">IF($AK$2=0,"",IFERROR(INDEX($N$3:$O$499,SMALL(IF($N$3:$N$499=$AK$2,ROW($N$3:$N$499)-2),ROW(N232)),2),""))</f>
        <v/>
      </c>
      <c r="AO234" s="36"/>
      <c r="AP234" s="80"/>
    </row>
    <row r="235" spans="2:42">
      <c r="B235" s="24" t="s">
        <v>132</v>
      </c>
      <c r="C235" s="24" t="s">
        <v>108</v>
      </c>
      <c r="N235" s="92" t="s">
        <v>92</v>
      </c>
      <c r="O235" s="92" t="s">
        <v>483</v>
      </c>
      <c r="P235" s="93" t="s">
        <v>1057</v>
      </c>
      <c r="R235" s="52" t="s">
        <v>163</v>
      </c>
      <c r="S235" s="53" t="s">
        <v>940</v>
      </c>
      <c r="T235" s="52" t="s">
        <v>911</v>
      </c>
      <c r="W235" s="50" t="str">
        <f t="array" ref="W235">IF($V$2=0,"",IFERROR(INDEX($B$3:$C$520,SMALL(IF($B$3:$B$520=$V$2,ROW($B$3:$B$520)-2),ROW(B233)),2),""))</f>
        <v/>
      </c>
      <c r="AL235" s="87" t="str">
        <f t="array" ref="AL235">IF($AK$2=0,"",IFERROR(INDEX($N$3:$O$499,SMALL(IF($N$3:$N$499=$AK$2,ROW($N$3:$N$499)-2),ROW(N233)),2),""))</f>
        <v/>
      </c>
      <c r="AO235" s="36"/>
      <c r="AP235" s="80"/>
    </row>
    <row r="236" spans="2:42">
      <c r="B236" s="24" t="s">
        <v>132</v>
      </c>
      <c r="C236" s="24" t="s">
        <v>109</v>
      </c>
      <c r="N236" s="92" t="s">
        <v>60</v>
      </c>
      <c r="O236" s="92" t="s">
        <v>559</v>
      </c>
      <c r="P236" s="93" t="s">
        <v>1057</v>
      </c>
      <c r="R236" s="52" t="s">
        <v>163</v>
      </c>
      <c r="S236" s="53" t="s">
        <v>941</v>
      </c>
      <c r="T236" s="52" t="s">
        <v>911</v>
      </c>
      <c r="W236" s="50" t="str">
        <f t="array" ref="W236">IF($V$2=0,"",IFERROR(INDEX($B$3:$C$520,SMALL(IF($B$3:$B$520=$V$2,ROW($B$3:$B$520)-2),ROW(B234)),2),""))</f>
        <v/>
      </c>
      <c r="AL236" s="87" t="str">
        <f t="array" ref="AL236">IF($AK$2=0,"",IFERROR(INDEX($N$3:$O$499,SMALL(IF($N$3:$N$499=$AK$2,ROW($N$3:$N$499)-2),ROW(N234)),2),""))</f>
        <v/>
      </c>
      <c r="AO236" s="36"/>
      <c r="AP236" s="80"/>
    </row>
    <row r="237" spans="2:42">
      <c r="B237" s="24" t="s">
        <v>132</v>
      </c>
      <c r="C237" s="24" t="s">
        <v>110</v>
      </c>
      <c r="N237" s="92" t="s">
        <v>60</v>
      </c>
      <c r="O237" s="92" t="s">
        <v>556</v>
      </c>
      <c r="P237" s="93" t="s">
        <v>1057</v>
      </c>
      <c r="R237" s="52" t="s">
        <v>163</v>
      </c>
      <c r="S237" s="53" t="s">
        <v>905</v>
      </c>
      <c r="T237" s="52" t="s">
        <v>912</v>
      </c>
      <c r="W237" s="50" t="str">
        <f t="array" ref="W237">IF($V$2=0,"",IFERROR(INDEX($B$3:$C$520,SMALL(IF($B$3:$B$520=$V$2,ROW($B$3:$B$520)-2),ROW(B235)),2),""))</f>
        <v/>
      </c>
      <c r="AL237" s="87" t="str">
        <f t="array" ref="AL237">IF($AK$2=0,"",IFERROR(INDEX($N$3:$O$499,SMALL(IF($N$3:$N$499=$AK$2,ROW($N$3:$N$499)-2),ROW(N235)),2),""))</f>
        <v/>
      </c>
      <c r="AO237" s="36"/>
      <c r="AP237" s="80"/>
    </row>
    <row r="238" spans="2:42">
      <c r="B238" s="24" t="s">
        <v>132</v>
      </c>
      <c r="C238" s="24" t="s">
        <v>111</v>
      </c>
      <c r="N238" s="92" t="s">
        <v>92</v>
      </c>
      <c r="O238" s="92" t="s">
        <v>485</v>
      </c>
      <c r="P238" s="93" t="s">
        <v>1057</v>
      </c>
      <c r="R238" s="52" t="s">
        <v>163</v>
      </c>
      <c r="S238" s="53" t="s">
        <v>200</v>
      </c>
      <c r="T238" s="52" t="s">
        <v>912</v>
      </c>
      <c r="W238" s="50" t="str">
        <f t="array" ref="W238">IF($V$2=0,"",IFERROR(INDEX($B$3:$C$520,SMALL(IF($B$3:$B$520=$V$2,ROW($B$3:$B$520)-2),ROW(B236)),2),""))</f>
        <v/>
      </c>
      <c r="AL238" s="87" t="str">
        <f t="array" ref="AL238">IF($AK$2=0,"",IFERROR(INDEX($N$3:$O$499,SMALL(IF($N$3:$N$499=$AK$2,ROW($N$3:$N$499)-2),ROW(N236)),2),""))</f>
        <v/>
      </c>
      <c r="AO238" s="36"/>
      <c r="AP238" s="80"/>
    </row>
    <row r="239" spans="2:42">
      <c r="B239" s="24" t="s">
        <v>132</v>
      </c>
      <c r="C239" s="24" t="s">
        <v>112</v>
      </c>
      <c r="N239" s="92" t="s">
        <v>60</v>
      </c>
      <c r="O239" s="92" t="s">
        <v>557</v>
      </c>
      <c r="P239" s="93" t="s">
        <v>1057</v>
      </c>
      <c r="R239" s="52" t="s">
        <v>163</v>
      </c>
      <c r="S239" s="53" t="s">
        <v>906</v>
      </c>
      <c r="T239" s="52" t="s">
        <v>912</v>
      </c>
      <c r="W239" s="50" t="str">
        <f t="array" ref="W239">IF($V$2=0,"",IFERROR(INDEX($B$3:$C$520,SMALL(IF($B$3:$B$520=$V$2,ROW($B$3:$B$520)-2),ROW(B237)),2),""))</f>
        <v/>
      </c>
      <c r="AL239" s="87" t="str">
        <f t="array" ref="AL239">IF($AK$2=0,"",IFERROR(INDEX($N$3:$O$499,SMALL(IF($N$3:$N$499=$AK$2,ROW($N$3:$N$499)-2),ROW(N237)),2),""))</f>
        <v/>
      </c>
      <c r="AO239" s="36"/>
      <c r="AP239" s="80"/>
    </row>
    <row r="240" spans="2:42">
      <c r="B240" s="24" t="s">
        <v>132</v>
      </c>
      <c r="C240" s="24" t="s">
        <v>113</v>
      </c>
      <c r="N240" s="92" t="s">
        <v>92</v>
      </c>
      <c r="O240" s="92" t="s">
        <v>484</v>
      </c>
      <c r="P240" s="93" t="s">
        <v>1057</v>
      </c>
      <c r="R240" s="52" t="s">
        <v>163</v>
      </c>
      <c r="S240" s="53" t="s">
        <v>943</v>
      </c>
      <c r="T240" s="52" t="s">
        <v>912</v>
      </c>
      <c r="W240" s="50" t="str">
        <f t="array" ref="W240">IF($V$2=0,"",IFERROR(INDEX($B$3:$C$520,SMALL(IF($B$3:$B$520=$V$2,ROW($B$3:$B$520)-2),ROW(B238)),2),""))</f>
        <v/>
      </c>
      <c r="AL240" s="87" t="str">
        <f t="array" ref="AL240">IF($AK$2=0,"",IFERROR(INDEX($N$3:$O$499,SMALL(IF($N$3:$N$499=$AK$2,ROW($N$3:$N$499)-2),ROW(N238)),2),""))</f>
        <v/>
      </c>
      <c r="AO240" s="36"/>
      <c r="AP240" s="80"/>
    </row>
    <row r="241" spans="2:42">
      <c r="B241" s="24" t="s">
        <v>132</v>
      </c>
      <c r="C241" s="24" t="s">
        <v>114</v>
      </c>
      <c r="N241" s="92" t="s">
        <v>197</v>
      </c>
      <c r="O241" s="92" t="s">
        <v>486</v>
      </c>
      <c r="P241" s="93" t="s">
        <v>1057</v>
      </c>
      <c r="R241" s="52" t="s">
        <v>163</v>
      </c>
      <c r="S241" s="53" t="s">
        <v>949</v>
      </c>
      <c r="T241" s="52" t="s">
        <v>429</v>
      </c>
      <c r="W241" s="50" t="str">
        <f t="array" ref="W241">IF($V$2=0,"",IFERROR(INDEX($B$3:$C$520,SMALL(IF($B$3:$B$520=$V$2,ROW($B$3:$B$520)-2),ROW(B239)),2),""))</f>
        <v/>
      </c>
      <c r="AL241" s="87" t="str">
        <f t="array" ref="AL241">IF($AK$2=0,"",IFERROR(INDEX($N$3:$O$499,SMALL(IF($N$3:$N$499=$AK$2,ROW($N$3:$N$499)-2),ROW(N239)),2),""))</f>
        <v/>
      </c>
      <c r="AO241" s="36"/>
      <c r="AP241" s="80"/>
    </row>
    <row r="242" spans="2:42">
      <c r="B242" s="24" t="s">
        <v>132</v>
      </c>
      <c r="C242" s="24" t="s">
        <v>115</v>
      </c>
      <c r="N242" s="92" t="s">
        <v>92</v>
      </c>
      <c r="O242" s="92" t="s">
        <v>476</v>
      </c>
      <c r="P242" s="93" t="s">
        <v>1057</v>
      </c>
      <c r="R242" s="52" t="s">
        <v>163</v>
      </c>
      <c r="S242" s="53" t="s">
        <v>901</v>
      </c>
      <c r="T242" s="52" t="s">
        <v>429</v>
      </c>
      <c r="W242" s="50" t="str">
        <f t="array" ref="W242">IF($V$2=0,"",IFERROR(INDEX($B$3:$C$520,SMALL(IF($B$3:$B$520=$V$2,ROW($B$3:$B$520)-2),ROW(B240)),2),""))</f>
        <v/>
      </c>
      <c r="AL242" s="87" t="str">
        <f t="array" ref="AL242">IF($AK$2=0,"",IFERROR(INDEX($N$3:$O$499,SMALL(IF($N$3:$N$499=$AK$2,ROW($N$3:$N$499)-2),ROW(N240)),2),""))</f>
        <v/>
      </c>
      <c r="AO242" s="36"/>
      <c r="AP242" s="80"/>
    </row>
    <row r="243" spans="2:42">
      <c r="B243" s="24" t="s">
        <v>132</v>
      </c>
      <c r="C243" s="24" t="s">
        <v>116</v>
      </c>
      <c r="N243" s="92" t="s">
        <v>163</v>
      </c>
      <c r="O243" s="92" t="s">
        <v>804</v>
      </c>
      <c r="P243" s="93" t="s">
        <v>1057</v>
      </c>
      <c r="R243" s="52" t="s">
        <v>163</v>
      </c>
      <c r="S243" s="53" t="s">
        <v>907</v>
      </c>
      <c r="T243" s="52" t="s">
        <v>429</v>
      </c>
      <c r="W243" s="50" t="str">
        <f t="array" ref="W243">IF($V$2=0,"",IFERROR(INDEX($B$3:$C$520,SMALL(IF($B$3:$B$520=$V$2,ROW($B$3:$B$520)-2),ROW(B241)),2),""))</f>
        <v/>
      </c>
      <c r="AL243" s="87" t="str">
        <f t="array" ref="AL243">IF($AK$2=0,"",IFERROR(INDEX($N$3:$O$499,SMALL(IF($N$3:$N$499=$AK$2,ROW($N$3:$N$499)-2),ROW(N241)),2),""))</f>
        <v/>
      </c>
      <c r="AO243" s="36"/>
      <c r="AP243" s="80"/>
    </row>
    <row r="244" spans="2:42">
      <c r="B244" s="24" t="s">
        <v>132</v>
      </c>
      <c r="C244" s="24" t="s">
        <v>117</v>
      </c>
      <c r="N244" s="92" t="s">
        <v>131</v>
      </c>
      <c r="O244" s="92" t="s">
        <v>1019</v>
      </c>
      <c r="P244" s="93" t="s">
        <v>1058</v>
      </c>
      <c r="R244" s="52" t="s">
        <v>163</v>
      </c>
      <c r="S244" s="53" t="s">
        <v>945</v>
      </c>
      <c r="T244" s="52" t="s">
        <v>429</v>
      </c>
      <c r="W244" s="50" t="str">
        <f t="array" ref="W244">IF($V$2=0,"",IFERROR(INDEX($B$3:$C$520,SMALL(IF($B$3:$B$520=$V$2,ROW($B$3:$B$520)-2),ROW(B242)),2),""))</f>
        <v/>
      </c>
      <c r="AL244" s="87" t="str">
        <f t="array" ref="AL244">IF($AK$2=0,"",IFERROR(INDEX($N$3:$O$499,SMALL(IF($N$3:$N$499=$AK$2,ROW($N$3:$N$499)-2),ROW(N242)),2),""))</f>
        <v/>
      </c>
      <c r="AO244" s="36"/>
      <c r="AP244" s="80"/>
    </row>
    <row r="245" spans="2:42">
      <c r="B245" s="24" t="s">
        <v>132</v>
      </c>
      <c r="C245" s="24" t="s">
        <v>118</v>
      </c>
      <c r="N245" s="92" t="s">
        <v>273</v>
      </c>
      <c r="O245" s="92" t="s">
        <v>584</v>
      </c>
      <c r="P245" s="93" t="s">
        <v>6</v>
      </c>
      <c r="R245" s="52" t="s">
        <v>163</v>
      </c>
      <c r="S245" s="53" t="s">
        <v>436</v>
      </c>
      <c r="T245" s="52" t="s">
        <v>429</v>
      </c>
      <c r="W245" s="50" t="str">
        <f t="array" ref="W245">IF($V$2=0,"",IFERROR(INDEX($B$3:$C$520,SMALL(IF($B$3:$B$520=$V$2,ROW($B$3:$B$520)-2),ROW(B243)),2),""))</f>
        <v/>
      </c>
      <c r="AL245" s="87" t="str">
        <f t="array" ref="AL245">IF($AK$2=0,"",IFERROR(INDEX($N$3:$O$499,SMALL(IF($N$3:$N$499=$AK$2,ROW($N$3:$N$499)-2),ROW(N243)),2),""))</f>
        <v/>
      </c>
      <c r="AO245" s="36"/>
      <c r="AP245" s="80"/>
    </row>
    <row r="246" spans="2:42">
      <c r="B246" s="24" t="s">
        <v>132</v>
      </c>
      <c r="C246" s="24" t="s">
        <v>119</v>
      </c>
      <c r="N246" s="92" t="s">
        <v>273</v>
      </c>
      <c r="O246" s="92" t="s">
        <v>603</v>
      </c>
      <c r="P246" s="93" t="s">
        <v>6</v>
      </c>
      <c r="R246" s="52" t="s">
        <v>163</v>
      </c>
      <c r="S246" s="53" t="s">
        <v>946</v>
      </c>
      <c r="T246" s="52" t="s">
        <v>429</v>
      </c>
      <c r="W246" s="50" t="str">
        <f t="array" ref="W246">IF($V$2=0,"",IFERROR(INDEX($B$3:$C$520,SMALL(IF($B$3:$B$520=$V$2,ROW($B$3:$B$520)-2),ROW(B244)),2),""))</f>
        <v/>
      </c>
      <c r="AL246" s="87" t="str">
        <f t="array" ref="AL246">IF($AK$2=0,"",IFERROR(INDEX($N$3:$O$499,SMALL(IF($N$3:$N$499=$AK$2,ROW($N$3:$N$499)-2),ROW(N244)),2),""))</f>
        <v/>
      </c>
      <c r="AO246" s="36"/>
      <c r="AP246" s="80"/>
    </row>
    <row r="247" spans="2:42">
      <c r="B247" s="24" t="s">
        <v>132</v>
      </c>
      <c r="C247" s="24" t="s">
        <v>120</v>
      </c>
      <c r="N247" s="92" t="s">
        <v>321</v>
      </c>
      <c r="O247" s="92" t="s">
        <v>578</v>
      </c>
      <c r="P247" s="93" t="s">
        <v>6</v>
      </c>
      <c r="R247" s="52" t="s">
        <v>161</v>
      </c>
      <c r="S247" s="53" t="s">
        <v>893</v>
      </c>
      <c r="T247" s="52" t="s">
        <v>908</v>
      </c>
      <c r="W247" s="50" t="str">
        <f t="array" ref="W247">IF($V$2=0,"",IFERROR(INDEX($B$3:$C$520,SMALL(IF($B$3:$B$520=$V$2,ROW($B$3:$B$520)-2),ROW(B245)),2),""))</f>
        <v/>
      </c>
      <c r="AL247" s="87" t="str">
        <f t="array" ref="AL247">IF($AK$2=0,"",IFERROR(INDEX($N$3:$O$499,SMALL(IF($N$3:$N$499=$AK$2,ROW($N$3:$N$499)-2),ROW(N245)),2),""))</f>
        <v/>
      </c>
      <c r="AO247" s="36"/>
      <c r="AP247" s="80"/>
    </row>
    <row r="248" spans="2:42">
      <c r="B248" s="24" t="s">
        <v>132</v>
      </c>
      <c r="C248" s="24" t="s">
        <v>121</v>
      </c>
      <c r="N248" s="92" t="s">
        <v>321</v>
      </c>
      <c r="O248" s="92" t="s">
        <v>579</v>
      </c>
      <c r="P248" s="93" t="s">
        <v>6</v>
      </c>
      <c r="R248" s="52" t="s">
        <v>161</v>
      </c>
      <c r="S248" s="53" t="s">
        <v>915</v>
      </c>
      <c r="T248" s="52" t="s">
        <v>908</v>
      </c>
      <c r="W248" s="50" t="str">
        <f t="array" ref="W248">IF($V$2=0,"",IFERROR(INDEX($B$3:$C$520,SMALL(IF($B$3:$B$520=$V$2,ROW($B$3:$B$520)-2),ROW(B246)),2),""))</f>
        <v/>
      </c>
      <c r="AL248" s="87" t="str">
        <f t="array" ref="AL248">IF($AK$2=0,"",IFERROR(INDEX($N$3:$O$499,SMALL(IF($N$3:$N$499=$AK$2,ROW($N$3:$N$499)-2),ROW(N246)),2),""))</f>
        <v/>
      </c>
      <c r="AO248" s="36"/>
      <c r="AP248" s="80"/>
    </row>
    <row r="249" spans="2:42">
      <c r="B249" s="24" t="s">
        <v>132</v>
      </c>
      <c r="C249" s="24" t="s">
        <v>122</v>
      </c>
      <c r="N249" s="92" t="s">
        <v>161</v>
      </c>
      <c r="O249" s="92" t="s">
        <v>535</v>
      </c>
      <c r="P249" s="93" t="s">
        <v>6</v>
      </c>
      <c r="R249" s="52" t="s">
        <v>161</v>
      </c>
      <c r="S249" s="53" t="s">
        <v>918</v>
      </c>
      <c r="T249" s="52" t="s">
        <v>908</v>
      </c>
      <c r="W249" s="50" t="str">
        <f t="array" ref="W249">IF($V$2=0,"",IFERROR(INDEX($B$3:$C$520,SMALL(IF($B$3:$B$520=$V$2,ROW($B$3:$B$520)-2),ROW(B247)),2),""))</f>
        <v/>
      </c>
      <c r="AL249" s="87" t="str">
        <f t="array" ref="AL249">IF($AK$2=0,"",IFERROR(INDEX($N$3:$O$499,SMALL(IF($N$3:$N$499=$AK$2,ROW($N$3:$N$499)-2),ROW(N247)),2),""))</f>
        <v/>
      </c>
      <c r="AO249" s="36"/>
      <c r="AP249" s="80"/>
    </row>
    <row r="250" spans="2:42">
      <c r="B250" s="24" t="s">
        <v>132</v>
      </c>
      <c r="C250" s="24" t="s">
        <v>123</v>
      </c>
      <c r="N250" s="92" t="s">
        <v>161</v>
      </c>
      <c r="O250" s="92" t="s">
        <v>536</v>
      </c>
      <c r="P250" s="93" t="s">
        <v>6</v>
      </c>
      <c r="R250" s="52" t="s">
        <v>161</v>
      </c>
      <c r="S250" s="53" t="s">
        <v>919</v>
      </c>
      <c r="T250" s="52" t="s">
        <v>908</v>
      </c>
      <c r="W250" s="50" t="str">
        <f t="array" ref="W250">IF($V$2=0,"",IFERROR(INDEX($B$3:$C$520,SMALL(IF($B$3:$B$520=$V$2,ROW($B$3:$B$520)-2),ROW(B248)),2),""))</f>
        <v/>
      </c>
      <c r="AL250" s="87" t="str">
        <f t="array" ref="AL250">IF($AK$2=0,"",IFERROR(INDEX($N$3:$O$499,SMALL(IF($N$3:$N$499=$AK$2,ROW($N$3:$N$499)-2),ROW(N248)),2),""))</f>
        <v/>
      </c>
      <c r="AO250" s="36"/>
      <c r="AP250" s="80"/>
    </row>
    <row r="251" spans="2:42">
      <c r="B251" s="24" t="s">
        <v>132</v>
      </c>
      <c r="C251" s="24" t="s">
        <v>124</v>
      </c>
      <c r="N251" s="92" t="s">
        <v>161</v>
      </c>
      <c r="O251" s="92" t="s">
        <v>537</v>
      </c>
      <c r="P251" s="93" t="s">
        <v>6</v>
      </c>
      <c r="R251" s="52" t="s">
        <v>161</v>
      </c>
      <c r="S251" s="53" t="s">
        <v>920</v>
      </c>
      <c r="T251" s="52" t="s">
        <v>908</v>
      </c>
      <c r="W251" s="50" t="str">
        <f t="array" ref="W251">IF($V$2=0,"",IFERROR(INDEX($B$3:$C$520,SMALL(IF($B$3:$B$520=$V$2,ROW($B$3:$B$520)-2),ROW(B249)),2),""))</f>
        <v/>
      </c>
      <c r="AL251" s="87" t="str">
        <f t="array" ref="AL251">IF($AK$2=0,"",IFERROR(INDEX($N$3:$O$499,SMALL(IF($N$3:$N$499=$AK$2,ROW($N$3:$N$499)-2),ROW(N249)),2),""))</f>
        <v/>
      </c>
      <c r="AO251" s="36"/>
      <c r="AP251" s="80"/>
    </row>
    <row r="252" spans="2:42">
      <c r="B252" s="24" t="s">
        <v>132</v>
      </c>
      <c r="C252" s="24" t="s">
        <v>125</v>
      </c>
      <c r="N252" s="92" t="s">
        <v>161</v>
      </c>
      <c r="O252" s="92" t="s">
        <v>538</v>
      </c>
      <c r="P252" s="93" t="s">
        <v>6</v>
      </c>
      <c r="R252" s="52" t="s">
        <v>161</v>
      </c>
      <c r="S252" s="53" t="s">
        <v>921</v>
      </c>
      <c r="T252" s="52" t="s">
        <v>908</v>
      </c>
      <c r="W252" s="50" t="str">
        <f t="array" ref="W252">IF($V$2=0,"",IFERROR(INDEX($B$3:$C$520,SMALL(IF($B$3:$B$520=$V$2,ROW($B$3:$B$520)-2),ROW(B250)),2),""))</f>
        <v/>
      </c>
      <c r="AL252" s="87" t="str">
        <f t="array" ref="AL252">IF($AK$2=0,"",IFERROR(INDEX($N$3:$O$499,SMALL(IF($N$3:$N$499=$AK$2,ROW($N$3:$N$499)-2),ROW(N250)),2),""))</f>
        <v/>
      </c>
      <c r="AO252" s="36"/>
      <c r="AP252" s="80"/>
    </row>
    <row r="253" spans="2:42">
      <c r="B253" s="24" t="s">
        <v>132</v>
      </c>
      <c r="C253" s="24" t="s">
        <v>126</v>
      </c>
      <c r="N253" s="92" t="s">
        <v>161</v>
      </c>
      <c r="O253" s="92" t="s">
        <v>539</v>
      </c>
      <c r="P253" s="93" t="s">
        <v>6</v>
      </c>
      <c r="R253" s="52" t="s">
        <v>161</v>
      </c>
      <c r="S253" s="53" t="s">
        <v>893</v>
      </c>
      <c r="T253" s="52" t="s">
        <v>909</v>
      </c>
      <c r="W253" s="50" t="str">
        <f t="array" ref="W253">IF($V$2=0,"",IFERROR(INDEX($B$3:$C$520,SMALL(IF($B$3:$B$520=$V$2,ROW($B$3:$B$520)-2),ROW(B251)),2),""))</f>
        <v/>
      </c>
      <c r="AL253" s="87" t="str">
        <f t="array" ref="AL253">IF($AK$2=0,"",IFERROR(INDEX($N$3:$O$499,SMALL(IF($N$3:$N$499=$AK$2,ROW($N$3:$N$499)-2),ROW(N251)),2),""))</f>
        <v/>
      </c>
      <c r="AO253" s="36"/>
      <c r="AP253" s="80"/>
    </row>
    <row r="254" spans="2:42">
      <c r="B254" s="24" t="s">
        <v>132</v>
      </c>
      <c r="C254" s="24" t="s">
        <v>127</v>
      </c>
      <c r="N254" s="92" t="s">
        <v>161</v>
      </c>
      <c r="O254" s="92" t="s">
        <v>540</v>
      </c>
      <c r="P254" s="93" t="s">
        <v>6</v>
      </c>
      <c r="R254" s="52" t="s">
        <v>161</v>
      </c>
      <c r="S254" s="53" t="s">
        <v>932</v>
      </c>
      <c r="T254" s="52" t="s">
        <v>966</v>
      </c>
      <c r="W254" s="50" t="str">
        <f t="array" ref="W254">IF($V$2=0,"",IFERROR(INDEX($B$3:$C$520,SMALL(IF($B$3:$B$520=$V$2,ROW($B$3:$B$520)-2),ROW(B252)),2),""))</f>
        <v/>
      </c>
      <c r="AL254" s="87" t="str">
        <f t="array" ref="AL254">IF($AK$2=0,"",IFERROR(INDEX($N$3:$O$499,SMALL(IF($N$3:$N$499=$AK$2,ROW($N$3:$N$499)-2),ROW(N252)),2),""))</f>
        <v/>
      </c>
      <c r="AO254" s="36"/>
      <c r="AP254" s="80"/>
    </row>
    <row r="255" spans="2:42">
      <c r="B255" s="24" t="s">
        <v>132</v>
      </c>
      <c r="C255" s="24" t="s">
        <v>128</v>
      </c>
      <c r="N255" s="92" t="s">
        <v>321</v>
      </c>
      <c r="O255" s="92" t="s">
        <v>574</v>
      </c>
      <c r="P255" s="93" t="s">
        <v>6</v>
      </c>
      <c r="R255" s="52" t="s">
        <v>161</v>
      </c>
      <c r="S255" s="53" t="s">
        <v>927</v>
      </c>
      <c r="T255" s="52" t="s">
        <v>966</v>
      </c>
      <c r="W255" s="50" t="str">
        <f t="array" ref="W255">IF($V$2=0,"",IFERROR(INDEX($B$3:$C$520,SMALL(IF($B$3:$B$520=$V$2,ROW($B$3:$B$520)-2),ROW(B253)),2),""))</f>
        <v/>
      </c>
      <c r="AL255" s="87" t="str">
        <f t="array" ref="AL255">IF($AK$2=0,"",IFERROR(INDEX($N$3:$O$499,SMALL(IF($N$3:$N$499=$AK$2,ROW($N$3:$N$499)-2),ROW(N253)),2),""))</f>
        <v/>
      </c>
      <c r="AO255" s="36"/>
      <c r="AP255" s="80"/>
    </row>
    <row r="256" spans="2:42">
      <c r="B256" s="24" t="s">
        <v>132</v>
      </c>
      <c r="C256" s="24" t="s">
        <v>129</v>
      </c>
      <c r="N256" s="92" t="s">
        <v>321</v>
      </c>
      <c r="O256" s="92" t="s">
        <v>572</v>
      </c>
      <c r="P256" s="93" t="s">
        <v>6</v>
      </c>
      <c r="R256" s="52" t="s">
        <v>161</v>
      </c>
      <c r="S256" s="53" t="s">
        <v>936</v>
      </c>
      <c r="T256" s="52" t="s">
        <v>966</v>
      </c>
      <c r="W256" s="50" t="str">
        <f t="array" ref="W256">IF($V$2=0,"",IFERROR(INDEX($B$3:$C$520,SMALL(IF($B$3:$B$520=$V$2,ROW($B$3:$B$520)-2),ROW(B254)),2),""))</f>
        <v/>
      </c>
      <c r="AL256" s="87" t="str">
        <f t="array" ref="AL256">IF($AK$2=0,"",IFERROR(INDEX($N$3:$O$499,SMALL(IF($N$3:$N$499=$AK$2,ROW($N$3:$N$499)-2),ROW(N254)),2),""))</f>
        <v/>
      </c>
      <c r="AO256" s="36"/>
      <c r="AP256" s="80"/>
    </row>
    <row r="257" spans="2:42">
      <c r="B257" s="24" t="s">
        <v>132</v>
      </c>
      <c r="C257" s="24" t="s">
        <v>772</v>
      </c>
      <c r="N257" s="92" t="s">
        <v>273</v>
      </c>
      <c r="O257" s="92" t="s">
        <v>598</v>
      </c>
      <c r="P257" s="93" t="s">
        <v>6</v>
      </c>
      <c r="R257" s="52" t="s">
        <v>161</v>
      </c>
      <c r="S257" s="53" t="s">
        <v>928</v>
      </c>
      <c r="T257" s="52" t="s">
        <v>966</v>
      </c>
      <c r="W257" s="50" t="str">
        <f t="array" ref="W257">IF($V$2=0,"",IFERROR(INDEX($B$3:$C$520,SMALL(IF($B$3:$B$520=$V$2,ROW($B$3:$B$520)-2),ROW(B255)),2),""))</f>
        <v/>
      </c>
      <c r="AL257" s="87" t="str">
        <f t="array" ref="AL257">IF($AK$2=0,"",IFERROR(INDEX($N$3:$O$499,SMALL(IF($N$3:$N$499=$AK$2,ROW($N$3:$N$499)-2),ROW(N255)),2),""))</f>
        <v/>
      </c>
      <c r="AO257" s="36"/>
      <c r="AP257" s="80"/>
    </row>
    <row r="258" spans="2:42">
      <c r="B258" s="24" t="s">
        <v>132</v>
      </c>
      <c r="C258" s="24" t="s">
        <v>774</v>
      </c>
      <c r="N258" s="92" t="s">
        <v>132</v>
      </c>
      <c r="O258" s="92" t="s">
        <v>541</v>
      </c>
      <c r="P258" s="93" t="s">
        <v>6</v>
      </c>
      <c r="R258" s="52" t="s">
        <v>161</v>
      </c>
      <c r="S258" s="53" t="s">
        <v>926</v>
      </c>
      <c r="T258" s="52" t="s">
        <v>966</v>
      </c>
      <c r="W258" s="50" t="str">
        <f t="array" ref="W258">IF($V$2=0,"",IFERROR(INDEX($B$3:$C$520,SMALL(IF($B$3:$B$520=$V$2,ROW($B$3:$B$520)-2),ROW(B256)),2),""))</f>
        <v/>
      </c>
      <c r="AL258" s="87" t="str">
        <f t="array" ref="AL258">IF($AK$2=0,"",IFERROR(INDEX($N$3:$O$499,SMALL(IF($N$3:$N$499=$AK$2,ROW($N$3:$N$499)-2),ROW(N256)),2),""))</f>
        <v/>
      </c>
      <c r="AO258" s="36"/>
      <c r="AP258" s="80"/>
    </row>
    <row r="259" spans="2:42">
      <c r="B259" s="24" t="s">
        <v>132</v>
      </c>
      <c r="C259" s="24" t="s">
        <v>775</v>
      </c>
      <c r="N259" s="92" t="s">
        <v>132</v>
      </c>
      <c r="O259" s="92" t="s">
        <v>542</v>
      </c>
      <c r="P259" s="93" t="s">
        <v>6</v>
      </c>
      <c r="R259" s="52" t="s">
        <v>161</v>
      </c>
      <c r="S259" s="53" t="s">
        <v>937</v>
      </c>
      <c r="T259" s="52" t="s">
        <v>966</v>
      </c>
      <c r="W259" s="50" t="str">
        <f t="array" ref="W259">IF($V$2=0,"",IFERROR(INDEX($B$3:$C$520,SMALL(IF($B$3:$B$520=$V$2,ROW($B$3:$B$520)-2),ROW(B257)),2),""))</f>
        <v/>
      </c>
      <c r="AL259" s="87" t="str">
        <f t="array" ref="AL259">IF($AK$2=0,"",IFERROR(INDEX($N$3:$O$499,SMALL(IF($N$3:$N$499=$AK$2,ROW($N$3:$N$499)-2),ROW(N257)),2),""))</f>
        <v/>
      </c>
      <c r="AO259" s="36"/>
      <c r="AP259" s="80"/>
    </row>
    <row r="260" spans="2:42">
      <c r="B260" s="24" t="s">
        <v>132</v>
      </c>
      <c r="C260" s="24" t="s">
        <v>773</v>
      </c>
      <c r="N260" s="92" t="s">
        <v>272</v>
      </c>
      <c r="O260" s="92" t="s">
        <v>624</v>
      </c>
      <c r="P260" s="93" t="s">
        <v>1057</v>
      </c>
      <c r="R260" s="52" t="s">
        <v>161</v>
      </c>
      <c r="S260" s="53" t="s">
        <v>939</v>
      </c>
      <c r="T260" s="52" t="s">
        <v>911</v>
      </c>
      <c r="W260" s="50" t="str">
        <f t="array" ref="W260">IF($V$2=0,"",IFERROR(INDEX($B$3:$C$520,SMALL(IF($B$3:$B$520=$V$2,ROW($B$3:$B$520)-2),ROW(B258)),2),""))</f>
        <v/>
      </c>
      <c r="AL260" s="87" t="str">
        <f t="array" ref="AL260">IF($AK$2=0,"",IFERROR(INDEX($N$3:$O$499,SMALL(IF($N$3:$N$499=$AK$2,ROW($N$3:$N$499)-2),ROW(N258)),2),""))</f>
        <v/>
      </c>
      <c r="AO260" s="36"/>
      <c r="AP260" s="80"/>
    </row>
    <row r="261" spans="2:42">
      <c r="B261" s="24" t="s">
        <v>132</v>
      </c>
      <c r="C261" s="24" t="s">
        <v>776</v>
      </c>
      <c r="N261" s="92" t="s">
        <v>273</v>
      </c>
      <c r="O261" s="92" t="s">
        <v>601</v>
      </c>
      <c r="P261" s="93" t="s">
        <v>6</v>
      </c>
      <c r="R261" s="52" t="s">
        <v>161</v>
      </c>
      <c r="S261" s="53" t="s">
        <v>940</v>
      </c>
      <c r="T261" s="52" t="s">
        <v>911</v>
      </c>
      <c r="W261" s="50" t="str">
        <f t="array" ref="W261">IF($V$2=0,"",IFERROR(INDEX($B$3:$C$520,SMALL(IF($B$3:$B$520=$V$2,ROW($B$3:$B$520)-2),ROW(B259)),2),""))</f>
        <v/>
      </c>
      <c r="AL261" s="87" t="str">
        <f t="array" ref="AL261">IF($AK$2=0,"",IFERROR(INDEX($N$3:$O$499,SMALL(IF($N$3:$N$499=$AK$2,ROW($N$3:$N$499)-2),ROW(N259)),2),""))</f>
        <v/>
      </c>
      <c r="AO261" s="36"/>
      <c r="AP261" s="80"/>
    </row>
    <row r="262" spans="2:42">
      <c r="B262" s="24" t="s">
        <v>132</v>
      </c>
      <c r="C262" s="24" t="s">
        <v>777</v>
      </c>
      <c r="N262" s="92" t="s">
        <v>321</v>
      </c>
      <c r="O262" s="92" t="s">
        <v>567</v>
      </c>
      <c r="P262" s="93" t="s">
        <v>6</v>
      </c>
      <c r="R262" s="52" t="s">
        <v>161</v>
      </c>
      <c r="S262" s="53" t="s">
        <v>941</v>
      </c>
      <c r="T262" s="52" t="s">
        <v>911</v>
      </c>
      <c r="W262" s="50" t="str">
        <f t="array" ref="W262">IF($V$2=0,"",IFERROR(INDEX($B$3:$C$520,SMALL(IF($B$3:$B$520=$V$2,ROW($B$3:$B$520)-2),ROW(B260)),2),""))</f>
        <v/>
      </c>
      <c r="AL262" s="87" t="str">
        <f t="array" ref="AL262">IF($AK$2=0,"",IFERROR(INDEX($N$3:$O$499,SMALL(IF($N$3:$N$499=$AK$2,ROW($N$3:$N$499)-2),ROW(N260)),2),""))</f>
        <v/>
      </c>
      <c r="AO262" s="36"/>
      <c r="AP262" s="80"/>
    </row>
    <row r="263" spans="2:42">
      <c r="B263" s="24" t="s">
        <v>131</v>
      </c>
      <c r="C263" s="24" t="s">
        <v>133</v>
      </c>
      <c r="N263" s="92" t="s">
        <v>321</v>
      </c>
      <c r="O263" s="92" t="s">
        <v>575</v>
      </c>
      <c r="P263" s="93" t="s">
        <v>6</v>
      </c>
      <c r="R263" s="52" t="s">
        <v>161</v>
      </c>
      <c r="S263" s="53" t="s">
        <v>905</v>
      </c>
      <c r="T263" s="52" t="s">
        <v>912</v>
      </c>
      <c r="W263" s="50" t="str">
        <f t="array" ref="W263">IF($V$2=0,"",IFERROR(INDEX($B$3:$C$520,SMALL(IF($B$3:$B$520=$V$2,ROW($B$3:$B$520)-2),ROW(B261)),2),""))</f>
        <v/>
      </c>
      <c r="AL263" s="87" t="str">
        <f t="array" ref="AL263">IF($AK$2=0,"",IFERROR(INDEX($N$3:$O$499,SMALL(IF($N$3:$N$499=$AK$2,ROW($N$3:$N$499)-2),ROW(N261)),2),""))</f>
        <v/>
      </c>
      <c r="AP263" s="80"/>
    </row>
    <row r="264" spans="2:42">
      <c r="B264" s="24" t="s">
        <v>131</v>
      </c>
      <c r="C264" s="24" t="s">
        <v>134</v>
      </c>
      <c r="N264" s="92" t="s">
        <v>321</v>
      </c>
      <c r="O264" s="92" t="s">
        <v>576</v>
      </c>
      <c r="P264" s="93" t="s">
        <v>6</v>
      </c>
      <c r="R264" s="52" t="s">
        <v>161</v>
      </c>
      <c r="S264" s="53" t="s">
        <v>200</v>
      </c>
      <c r="T264" s="52" t="s">
        <v>912</v>
      </c>
      <c r="W264" s="50" t="str">
        <f t="array" ref="W264">IF($V$2=0,"",IFERROR(INDEX($B$3:$C$520,SMALL(IF($B$3:$B$520=$V$2,ROW($B$3:$B$520)-2),ROW(B262)),2),""))</f>
        <v/>
      </c>
      <c r="AL264" s="87" t="str">
        <f t="array" ref="AL264">IF($AK$2=0,"",IFERROR(INDEX($N$3:$O$499,SMALL(IF($N$3:$N$499=$AK$2,ROW($N$3:$N$499)-2),ROW(N262)),2),""))</f>
        <v/>
      </c>
      <c r="AP264" s="80"/>
    </row>
    <row r="265" spans="2:42">
      <c r="B265" s="24" t="s">
        <v>131</v>
      </c>
      <c r="C265" s="24" t="s">
        <v>135</v>
      </c>
      <c r="N265" s="92" t="s">
        <v>132</v>
      </c>
      <c r="O265" s="92" t="s">
        <v>543</v>
      </c>
      <c r="P265" s="93" t="s">
        <v>6</v>
      </c>
      <c r="R265" s="52" t="s">
        <v>161</v>
      </c>
      <c r="S265" s="53" t="s">
        <v>906</v>
      </c>
      <c r="T265" s="52" t="s">
        <v>912</v>
      </c>
      <c r="W265" s="50" t="str">
        <f t="array" ref="W265">IF($V$2=0,"",IFERROR(INDEX($B$3:$C$520,SMALL(IF($B$3:$B$520=$V$2,ROW($B$3:$B$520)-2),ROW(B263)),2),""))</f>
        <v/>
      </c>
      <c r="AL265" s="87" t="str">
        <f t="array" ref="AL265">IF($AK$2=0,"",IFERROR(INDEX($N$3:$O$499,SMALL(IF($N$3:$N$499=$AK$2,ROW($N$3:$N$499)-2),ROW(N263)),2),""))</f>
        <v/>
      </c>
      <c r="AP265" s="80"/>
    </row>
    <row r="266" spans="2:42">
      <c r="B266" s="24" t="s">
        <v>131</v>
      </c>
      <c r="C266" s="24" t="s">
        <v>136</v>
      </c>
      <c r="N266" s="92" t="s">
        <v>321</v>
      </c>
      <c r="O266" s="92" t="s">
        <v>573</v>
      </c>
      <c r="P266" s="93" t="s">
        <v>6</v>
      </c>
      <c r="R266" s="52" t="s">
        <v>161</v>
      </c>
      <c r="S266" s="53" t="s">
        <v>943</v>
      </c>
      <c r="T266" s="52" t="s">
        <v>912</v>
      </c>
      <c r="W266" s="50" t="str">
        <f t="array" ref="W266">IF($V$2=0,"",IFERROR(INDEX($B$3:$C$520,SMALL(IF($B$3:$B$520=$V$2,ROW($B$3:$B$520)-2),ROW(B264)),2),""))</f>
        <v/>
      </c>
      <c r="AL266" s="87" t="str">
        <f t="array" ref="AL266">IF($AK$2=0,"",IFERROR(INDEX($N$3:$O$499,SMALL(IF($N$3:$N$499=$AK$2,ROW($N$3:$N$499)-2),ROW(N264)),2),""))</f>
        <v/>
      </c>
      <c r="AP266" s="80"/>
    </row>
    <row r="267" spans="2:42">
      <c r="B267" s="24" t="s">
        <v>131</v>
      </c>
      <c r="C267" s="24" t="s">
        <v>137</v>
      </c>
      <c r="N267" s="92" t="s">
        <v>273</v>
      </c>
      <c r="O267" s="92" t="s">
        <v>588</v>
      </c>
      <c r="P267" s="93" t="s">
        <v>6</v>
      </c>
      <c r="R267" s="52" t="s">
        <v>161</v>
      </c>
      <c r="S267" s="53" t="s">
        <v>901</v>
      </c>
      <c r="T267" s="52" t="s">
        <v>429</v>
      </c>
      <c r="W267" s="50" t="str">
        <f t="array" ref="W267">IF($V$2=0,"",IFERROR(INDEX($B$3:$C$520,SMALL(IF($B$3:$B$520=$V$2,ROW($B$3:$B$520)-2),ROW(B265)),2),""))</f>
        <v/>
      </c>
      <c r="AL267" s="87" t="str">
        <f t="array" ref="AL267">IF($AK$2=0,"",IFERROR(INDEX($N$3:$O$499,SMALL(IF($N$3:$N$499=$AK$2,ROW($N$3:$N$499)-2),ROW(N265)),2),""))</f>
        <v/>
      </c>
      <c r="AP267" s="80"/>
    </row>
    <row r="268" spans="2:42">
      <c r="B268" s="24" t="s">
        <v>131</v>
      </c>
      <c r="C268" s="24" t="s">
        <v>138</v>
      </c>
      <c r="N268" s="92" t="s">
        <v>273</v>
      </c>
      <c r="O268" s="92" t="s">
        <v>597</v>
      </c>
      <c r="P268" s="93" t="s">
        <v>6</v>
      </c>
      <c r="R268" s="52" t="s">
        <v>161</v>
      </c>
      <c r="S268" s="53" t="s">
        <v>907</v>
      </c>
      <c r="T268" s="52" t="s">
        <v>429</v>
      </c>
      <c r="W268" s="50" t="str">
        <f t="array" ref="W268">IF($V$2=0,"",IFERROR(INDEX($B$3:$C$520,SMALL(IF($B$3:$B$520=$V$2,ROW($B$3:$B$520)-2),ROW(B266)),2),""))</f>
        <v/>
      </c>
      <c r="AL268" s="87" t="str">
        <f t="array" ref="AL268">IF($AK$2=0,"",IFERROR(INDEX($N$3:$O$499,SMALL(IF($N$3:$N$499=$AK$2,ROW($N$3:$N$499)-2),ROW(N266)),2),""))</f>
        <v/>
      </c>
      <c r="AP268" s="80"/>
    </row>
    <row r="269" spans="2:42">
      <c r="B269" s="24" t="s">
        <v>131</v>
      </c>
      <c r="C269" s="24" t="s">
        <v>139</v>
      </c>
      <c r="N269" s="92" t="s">
        <v>273</v>
      </c>
      <c r="O269" s="92" t="s">
        <v>589</v>
      </c>
      <c r="P269" s="93" t="s">
        <v>6</v>
      </c>
      <c r="R269" s="52" t="s">
        <v>161</v>
      </c>
      <c r="S269" s="53" t="s">
        <v>945</v>
      </c>
      <c r="T269" s="52" t="s">
        <v>429</v>
      </c>
      <c r="W269" s="50" t="str">
        <f t="array" ref="W269">IF($V$2=0,"",IFERROR(INDEX($B$3:$C$520,SMALL(IF($B$3:$B$520=$V$2,ROW($B$3:$B$520)-2),ROW(B267)),2),""))</f>
        <v/>
      </c>
      <c r="AL269" s="87" t="str">
        <f t="array" ref="AL269">IF($AK$2=0,"",IFERROR(INDEX($N$3:$O$499,SMALL(IF($N$3:$N$499=$AK$2,ROW($N$3:$N$499)-2),ROW(N267)),2),""))</f>
        <v/>
      </c>
      <c r="AP269" s="80"/>
    </row>
    <row r="270" spans="2:42">
      <c r="B270" s="24" t="s">
        <v>131</v>
      </c>
      <c r="C270" s="24" t="s">
        <v>140</v>
      </c>
      <c r="N270" s="92" t="s">
        <v>273</v>
      </c>
      <c r="O270" s="92" t="s">
        <v>591</v>
      </c>
      <c r="P270" s="93" t="s">
        <v>6</v>
      </c>
      <c r="R270" s="52" t="s">
        <v>161</v>
      </c>
      <c r="S270" s="53" t="s">
        <v>436</v>
      </c>
      <c r="T270" s="52" t="s">
        <v>429</v>
      </c>
      <c r="W270" s="50" t="str">
        <f t="array" ref="W270">IF($V$2=0,"",IFERROR(INDEX($B$3:$C$520,SMALL(IF($B$3:$B$520=$V$2,ROW($B$3:$B$520)-2),ROW(B268)),2),""))</f>
        <v/>
      </c>
      <c r="AL270" s="87" t="str">
        <f t="array" ref="AL270">IF($AK$2=0,"",IFERROR(INDEX($N$3:$O$499,SMALL(IF($N$3:$N$499=$AK$2,ROW($N$3:$N$499)-2),ROW(N268)),2),""))</f>
        <v/>
      </c>
      <c r="AP270" s="80"/>
    </row>
    <row r="271" spans="2:42">
      <c r="B271" s="24" t="s">
        <v>131</v>
      </c>
      <c r="C271" s="24" t="s">
        <v>141</v>
      </c>
      <c r="N271" s="92" t="s">
        <v>161</v>
      </c>
      <c r="O271" s="92" t="s">
        <v>544</v>
      </c>
      <c r="P271" s="93" t="s">
        <v>1059</v>
      </c>
      <c r="R271" s="52" t="s">
        <v>161</v>
      </c>
      <c r="S271" s="53" t="s">
        <v>946</v>
      </c>
      <c r="T271" s="52" t="s">
        <v>429</v>
      </c>
      <c r="W271" s="50" t="str">
        <f t="array" ref="W271">IF($V$2=0,"",IFERROR(INDEX($B$3:$C$520,SMALL(IF($B$3:$B$520=$V$2,ROW($B$3:$B$520)-2),ROW(B269)),2),""))</f>
        <v/>
      </c>
      <c r="AL271" s="87" t="str">
        <f t="array" ref="AL271">IF($AK$2=0,"",IFERROR(INDEX($N$3:$O$499,SMALL(IF($N$3:$N$499=$AK$2,ROW($N$3:$N$499)-2),ROW(N269)),2),""))</f>
        <v/>
      </c>
      <c r="AP271" s="80"/>
    </row>
    <row r="272" spans="2:42">
      <c r="B272" s="24" t="s">
        <v>131</v>
      </c>
      <c r="C272" s="24" t="s">
        <v>142</v>
      </c>
      <c r="N272" s="92" t="s">
        <v>92</v>
      </c>
      <c r="O272" s="92" t="s">
        <v>470</v>
      </c>
      <c r="P272" s="93" t="s">
        <v>1057</v>
      </c>
      <c r="R272" s="52" t="s">
        <v>197</v>
      </c>
      <c r="S272" s="53" t="s">
        <v>893</v>
      </c>
      <c r="T272" s="52" t="s">
        <v>908</v>
      </c>
      <c r="W272" s="50" t="str">
        <f t="array" ref="W272">IF($V$2=0,"",IFERROR(INDEX($B$3:$C$520,SMALL(IF($B$3:$B$520=$V$2,ROW($B$3:$B$520)-2),ROW(B270)),2),""))</f>
        <v/>
      </c>
      <c r="AL272" s="87" t="str">
        <f t="array" ref="AL272">IF($AK$2=0,"",IFERROR(INDEX($N$3:$O$499,SMALL(IF($N$3:$N$499=$AK$2,ROW($N$3:$N$499)-2),ROW(N270)),2),""))</f>
        <v/>
      </c>
      <c r="AP272" s="80"/>
    </row>
    <row r="273" spans="2:42">
      <c r="B273" s="24" t="s">
        <v>131</v>
      </c>
      <c r="C273" s="24" t="s">
        <v>143</v>
      </c>
      <c r="N273" s="92" t="s">
        <v>161</v>
      </c>
      <c r="O273" s="92" t="s">
        <v>545</v>
      </c>
      <c r="P273" s="93" t="s">
        <v>6</v>
      </c>
      <c r="R273" s="52" t="s">
        <v>197</v>
      </c>
      <c r="S273" s="53" t="s">
        <v>915</v>
      </c>
      <c r="T273" s="52" t="s">
        <v>908</v>
      </c>
      <c r="W273" s="50" t="str">
        <f t="array" ref="W273">IF($V$2=0,"",IFERROR(INDEX($B$3:$C$520,SMALL(IF($B$3:$B$520=$V$2,ROW($B$3:$B$520)-2),ROW(B271)),2),""))</f>
        <v/>
      </c>
      <c r="AL273" s="87" t="str">
        <f t="array" ref="AL273">IF($AK$2=0,"",IFERROR(INDEX($N$3:$O$499,SMALL(IF($N$3:$N$499=$AK$2,ROW($N$3:$N$499)-2),ROW(N271)),2),""))</f>
        <v/>
      </c>
      <c r="AP273" s="80"/>
    </row>
    <row r="274" spans="2:42">
      <c r="B274" s="24" t="s">
        <v>131</v>
      </c>
      <c r="C274" s="24" t="s">
        <v>144</v>
      </c>
      <c r="N274" s="92" t="s">
        <v>273</v>
      </c>
      <c r="O274" s="92" t="s">
        <v>592</v>
      </c>
      <c r="P274" s="93" t="s">
        <v>6</v>
      </c>
      <c r="R274" s="52" t="s">
        <v>197</v>
      </c>
      <c r="S274" s="53" t="s">
        <v>917</v>
      </c>
      <c r="T274" s="52" t="s">
        <v>908</v>
      </c>
      <c r="W274" s="50" t="str">
        <f t="array" ref="W274">IF($V$2=0,"",IFERROR(INDEX($B$3:$C$520,SMALL(IF($B$3:$B$520=$V$2,ROW($B$3:$B$520)-2),ROW(B272)),2),""))</f>
        <v/>
      </c>
      <c r="AL274" s="87" t="str">
        <f t="array" ref="AL274">IF($AK$2=0,"",IFERROR(INDEX($N$3:$O$499,SMALL(IF($N$3:$N$499=$AK$2,ROW($N$3:$N$499)-2),ROW(N272)),2),""))</f>
        <v/>
      </c>
      <c r="AP274" s="80"/>
    </row>
    <row r="275" spans="2:42">
      <c r="B275" s="24" t="s">
        <v>131</v>
      </c>
      <c r="C275" s="24" t="s">
        <v>145</v>
      </c>
      <c r="N275" s="92" t="s">
        <v>273</v>
      </c>
      <c r="O275" s="92" t="s">
        <v>602</v>
      </c>
      <c r="P275" s="93" t="s">
        <v>6</v>
      </c>
      <c r="R275" s="52" t="s">
        <v>197</v>
      </c>
      <c r="S275" s="53" t="s">
        <v>918</v>
      </c>
      <c r="T275" s="52" t="s">
        <v>908</v>
      </c>
      <c r="W275" s="50" t="str">
        <f t="array" ref="W275">IF($V$2=0,"",IFERROR(INDEX($B$3:$C$520,SMALL(IF($B$3:$B$520=$V$2,ROW($B$3:$B$520)-2),ROW(B273)),2),""))</f>
        <v/>
      </c>
      <c r="AL275" s="87" t="str">
        <f t="array" ref="AL275">IF($AK$2=0,"",IFERROR(INDEX($N$3:$O$499,SMALL(IF($N$3:$N$499=$AK$2,ROW($N$3:$N$499)-2),ROW(N273)),2),""))</f>
        <v/>
      </c>
      <c r="AP275" s="80"/>
    </row>
    <row r="276" spans="2:42">
      <c r="B276" s="24" t="s">
        <v>131</v>
      </c>
      <c r="C276" s="24" t="s">
        <v>146</v>
      </c>
      <c r="N276" s="92" t="s">
        <v>273</v>
      </c>
      <c r="O276" s="92" t="s">
        <v>596</v>
      </c>
      <c r="P276" s="93" t="s">
        <v>6</v>
      </c>
      <c r="R276" s="52" t="s">
        <v>197</v>
      </c>
      <c r="S276" s="53" t="s">
        <v>919</v>
      </c>
      <c r="T276" s="52" t="s">
        <v>908</v>
      </c>
      <c r="W276" s="50" t="str">
        <f t="array" ref="W276">IF($V$2=0,"",IFERROR(INDEX($B$3:$C$520,SMALL(IF($B$3:$B$520=$V$2,ROW($B$3:$B$520)-2),ROW(B274)),2),""))</f>
        <v/>
      </c>
      <c r="AL276" s="87" t="str">
        <f t="array" ref="AL276">IF($AK$2=0,"",IFERROR(INDEX($N$3:$O$499,SMALL(IF($N$3:$N$499=$AK$2,ROW($N$3:$N$499)-2),ROW(N274)),2),""))</f>
        <v/>
      </c>
      <c r="AP276" s="80"/>
    </row>
    <row r="277" spans="2:42">
      <c r="B277" s="24" t="s">
        <v>131</v>
      </c>
      <c r="C277" s="24" t="s">
        <v>147</v>
      </c>
      <c r="N277" s="92" t="s">
        <v>60</v>
      </c>
      <c r="O277" s="92" t="s">
        <v>549</v>
      </c>
      <c r="P277" s="93" t="s">
        <v>6</v>
      </c>
      <c r="R277" s="52" t="s">
        <v>197</v>
      </c>
      <c r="S277" s="53" t="s">
        <v>921</v>
      </c>
      <c r="T277" s="52" t="s">
        <v>908</v>
      </c>
      <c r="W277" s="50" t="str">
        <f t="array" ref="W277">IF($V$2=0,"",IFERROR(INDEX($B$3:$C$520,SMALL(IF($B$3:$B$520=$V$2,ROW($B$3:$B$520)-2),ROW(B275)),2),""))</f>
        <v/>
      </c>
      <c r="AL277" s="87" t="str">
        <f t="array" ref="AL277">IF($AK$2=0,"",IFERROR(INDEX($N$3:$O$499,SMALL(IF($N$3:$N$499=$AK$2,ROW($N$3:$N$499)-2),ROW(N275)),2),""))</f>
        <v/>
      </c>
      <c r="AP277" s="80"/>
    </row>
    <row r="278" spans="2:42">
      <c r="B278" s="24" t="s">
        <v>131</v>
      </c>
      <c r="C278" s="24" t="s">
        <v>1039</v>
      </c>
      <c r="N278" s="92" t="s">
        <v>321</v>
      </c>
      <c r="O278" s="92" t="s">
        <v>565</v>
      </c>
      <c r="P278" s="93" t="s">
        <v>6</v>
      </c>
      <c r="R278" s="52" t="s">
        <v>197</v>
      </c>
      <c r="S278" s="53" t="s">
        <v>923</v>
      </c>
      <c r="T278" s="52" t="s">
        <v>910</v>
      </c>
      <c r="W278" s="50" t="str">
        <f t="array" ref="W278">IF($V$2=0,"",IFERROR(INDEX($B$3:$C$520,SMALL(IF($B$3:$B$520=$V$2,ROW($B$3:$B$520)-2),ROW(B276)),2),""))</f>
        <v/>
      </c>
      <c r="AL278" s="87" t="str">
        <f t="array" ref="AL278">IF($AK$2=0,"",IFERROR(INDEX($N$3:$O$499,SMALL(IF($N$3:$N$499=$AK$2,ROW($N$3:$N$499)-2),ROW(N276)),2),""))</f>
        <v/>
      </c>
      <c r="AP278" s="80"/>
    </row>
    <row r="279" spans="2:42">
      <c r="B279" s="24" t="s">
        <v>161</v>
      </c>
      <c r="C279" s="24" t="s">
        <v>148</v>
      </c>
      <c r="N279" s="92" t="s">
        <v>321</v>
      </c>
      <c r="O279" s="92" t="s">
        <v>566</v>
      </c>
      <c r="P279" s="93" t="s">
        <v>6</v>
      </c>
      <c r="R279" s="52" t="s">
        <v>197</v>
      </c>
      <c r="S279" s="53" t="s">
        <v>926</v>
      </c>
      <c r="T279" s="52" t="s">
        <v>910</v>
      </c>
      <c r="W279" s="50" t="str">
        <f t="array" ref="W279">IF($V$2=0,"",IFERROR(INDEX($B$3:$C$520,SMALL(IF($B$3:$B$520=$V$2,ROW($B$3:$B$520)-2),ROW(B277)),2),""))</f>
        <v/>
      </c>
      <c r="AL279" s="87" t="str">
        <f t="array" ref="AL279">IF($AK$2=0,"",IFERROR(INDEX($N$3:$O$499,SMALL(IF($N$3:$N$499=$AK$2,ROW($N$3:$N$499)-2),ROW(N277)),2),""))</f>
        <v/>
      </c>
      <c r="AP279" s="80"/>
    </row>
    <row r="280" spans="2:42">
      <c r="B280" s="24" t="s">
        <v>161</v>
      </c>
      <c r="C280" s="24" t="s">
        <v>149</v>
      </c>
      <c r="N280" s="92" t="s">
        <v>321</v>
      </c>
      <c r="O280" s="92" t="s">
        <v>568</v>
      </c>
      <c r="P280" s="93" t="s">
        <v>6</v>
      </c>
      <c r="R280" s="52" t="s">
        <v>197</v>
      </c>
      <c r="S280" s="53" t="s">
        <v>927</v>
      </c>
      <c r="T280" s="52" t="s">
        <v>910</v>
      </c>
      <c r="W280" s="50" t="str">
        <f t="array" ref="W280">IF($V$2=0,"",IFERROR(INDEX($B$3:$C$520,SMALL(IF($B$3:$B$520=$V$2,ROW($B$3:$B$520)-2),ROW(B278)),2),""))</f>
        <v/>
      </c>
      <c r="AL280" s="87" t="str">
        <f t="array" ref="AL280">IF($AK$2=0,"",IFERROR(INDEX($N$3:$O$499,SMALL(IF($N$3:$N$499=$AK$2,ROW($N$3:$N$499)-2),ROW(N278)),2),""))</f>
        <v/>
      </c>
      <c r="AP280" s="80"/>
    </row>
    <row r="281" spans="2:42">
      <c r="B281" s="24" t="s">
        <v>161</v>
      </c>
      <c r="C281" s="24" t="s">
        <v>150</v>
      </c>
      <c r="N281" s="219" t="s">
        <v>197</v>
      </c>
      <c r="O281" s="219" t="s">
        <v>143</v>
      </c>
      <c r="P281" s="93" t="s">
        <v>1060</v>
      </c>
      <c r="R281" s="52" t="s">
        <v>197</v>
      </c>
      <c r="S281" s="53" t="s">
        <v>928</v>
      </c>
      <c r="T281" s="52" t="s">
        <v>910</v>
      </c>
      <c r="W281" s="50" t="str">
        <f t="array" ref="W281">IF($V$2=0,"",IFERROR(INDEX($B$3:$C$520,SMALL(IF($B$3:$B$520=$V$2,ROW($B$3:$B$520)-2),ROW(B279)),2),""))</f>
        <v/>
      </c>
      <c r="AL281" s="87" t="str">
        <f t="array" ref="AL281">IF($AK$2=0,"",IFERROR(INDEX($N$3:$O$499,SMALL(IF($N$3:$N$499=$AK$2,ROW($N$3:$N$499)-2),ROW(N279)),2),""))</f>
        <v/>
      </c>
      <c r="AP281" s="80"/>
    </row>
    <row r="282" spans="2:42">
      <c r="B282" s="24" t="s">
        <v>161</v>
      </c>
      <c r="C282" s="24" t="s">
        <v>151</v>
      </c>
      <c r="N282" s="219" t="s">
        <v>197</v>
      </c>
      <c r="O282" s="219" t="s">
        <v>145</v>
      </c>
      <c r="P282" s="93" t="s">
        <v>1060</v>
      </c>
      <c r="R282" s="52" t="s">
        <v>197</v>
      </c>
      <c r="S282" s="53" t="s">
        <v>929</v>
      </c>
      <c r="T282" s="52" t="s">
        <v>910</v>
      </c>
      <c r="W282" s="50" t="str">
        <f t="array" ref="W282">IF($V$2=0,"",IFERROR(INDEX($B$3:$C$520,SMALL(IF($B$3:$B$520=$V$2,ROW($B$3:$B$520)-2),ROW(B280)),2),""))</f>
        <v/>
      </c>
      <c r="AL282" s="87" t="str">
        <f t="array" ref="AL282">IF($AK$2=0,"",IFERROR(INDEX($N$3:$O$499,SMALL(IF($N$3:$N$499=$AK$2,ROW($N$3:$N$499)-2),ROW(N280)),2),""))</f>
        <v/>
      </c>
      <c r="AP282" s="80"/>
    </row>
    <row r="283" spans="2:42">
      <c r="B283" s="24" t="s">
        <v>161</v>
      </c>
      <c r="C283" s="24" t="s">
        <v>152</v>
      </c>
      <c r="N283" s="219" t="s">
        <v>197</v>
      </c>
      <c r="O283" s="219" t="s">
        <v>144</v>
      </c>
      <c r="P283" s="93" t="s">
        <v>1060</v>
      </c>
      <c r="R283" s="52" t="s">
        <v>197</v>
      </c>
      <c r="S283" s="53" t="s">
        <v>932</v>
      </c>
      <c r="T283" s="52" t="s">
        <v>966</v>
      </c>
      <c r="W283" s="50" t="str">
        <f t="array" ref="W283">IF($V$2=0,"",IFERROR(INDEX($B$3:$C$520,SMALL(IF($B$3:$B$520=$V$2,ROW($B$3:$B$520)-2),ROW(B281)),2),""))</f>
        <v/>
      </c>
      <c r="AL283" s="87" t="str">
        <f t="array" ref="AL283">IF($AK$2=0,"",IFERROR(INDEX($N$3:$O$499,SMALL(IF($N$3:$N$499=$AK$2,ROW($N$3:$N$499)-2),ROW(N281)),2),""))</f>
        <v/>
      </c>
      <c r="AP283" s="80"/>
    </row>
    <row r="284" spans="2:42">
      <c r="B284" s="24" t="s">
        <v>161</v>
      </c>
      <c r="C284" s="24" t="s">
        <v>153</v>
      </c>
      <c r="N284" s="219" t="s">
        <v>197</v>
      </c>
      <c r="O284" s="219" t="s">
        <v>146</v>
      </c>
      <c r="P284" s="93" t="s">
        <v>1060</v>
      </c>
      <c r="R284" s="52" t="s">
        <v>197</v>
      </c>
      <c r="S284" s="53" t="s">
        <v>927</v>
      </c>
      <c r="T284" s="52" t="s">
        <v>966</v>
      </c>
      <c r="W284" s="50" t="str">
        <f t="array" ref="W284">IF($V$2=0,"",IFERROR(INDEX($B$3:$C$520,SMALL(IF($B$3:$B$520=$V$2,ROW($B$3:$B$520)-2),ROW(B282)),2),""))</f>
        <v/>
      </c>
      <c r="AL284" s="87" t="str">
        <f t="array" ref="AL284">IF($AK$2=0,"",IFERROR(INDEX($N$3:$O$499,SMALL(IF($N$3:$N$499=$AK$2,ROW($N$3:$N$499)-2),ROW(N282)),2),""))</f>
        <v/>
      </c>
      <c r="AP284" s="80"/>
    </row>
    <row r="285" spans="2:42">
      <c r="B285" s="24" t="s">
        <v>161</v>
      </c>
      <c r="C285" s="24" t="s">
        <v>154</v>
      </c>
      <c r="N285" s="219" t="s">
        <v>163</v>
      </c>
      <c r="O285" s="219" t="s">
        <v>93</v>
      </c>
      <c r="P285" s="93" t="s">
        <v>1060</v>
      </c>
      <c r="R285" s="52" t="s">
        <v>197</v>
      </c>
      <c r="S285" s="53" t="s">
        <v>934</v>
      </c>
      <c r="T285" s="52" t="s">
        <v>966</v>
      </c>
      <c r="W285" s="50" t="str">
        <f t="array" ref="W285">IF($V$2=0,"",IFERROR(INDEX($B$3:$C$520,SMALL(IF($B$3:$B$520=$V$2,ROW($B$3:$B$520)-2),ROW(B283)),2),""))</f>
        <v/>
      </c>
      <c r="AL285" s="87" t="str">
        <f t="array" ref="AL285">IF($AK$2=0,"",IFERROR(INDEX($N$3:$O$499,SMALL(IF($N$3:$N$499=$AK$2,ROW($N$3:$N$499)-2),ROW(N283)),2),""))</f>
        <v/>
      </c>
      <c r="AP285" s="80"/>
    </row>
    <row r="286" spans="2:42">
      <c r="B286" s="24" t="s">
        <v>161</v>
      </c>
      <c r="C286" s="24" t="s">
        <v>155</v>
      </c>
      <c r="N286" s="219" t="s">
        <v>163</v>
      </c>
      <c r="O286" s="219" t="s">
        <v>94</v>
      </c>
      <c r="P286" s="93" t="s">
        <v>1060</v>
      </c>
      <c r="R286" s="52" t="s">
        <v>197</v>
      </c>
      <c r="S286" s="53" t="s">
        <v>936</v>
      </c>
      <c r="T286" s="52" t="s">
        <v>966</v>
      </c>
      <c r="W286" s="50" t="str">
        <f t="array" ref="W286">IF($V$2=0,"",IFERROR(INDEX($B$3:$C$520,SMALL(IF($B$3:$B$520=$V$2,ROW($B$3:$B$520)-2),ROW(B284)),2),""))</f>
        <v/>
      </c>
      <c r="AL286" s="87" t="str">
        <f t="array" ref="AL286">IF($AK$2=0,"",IFERROR(INDEX($N$3:$O$499,SMALL(IF($N$3:$N$499=$AK$2,ROW($N$3:$N$499)-2),ROW(N284)),2),""))</f>
        <v/>
      </c>
      <c r="AP286" s="80"/>
    </row>
    <row r="287" spans="2:42">
      <c r="B287" s="24" t="s">
        <v>161</v>
      </c>
      <c r="C287" s="24" t="s">
        <v>156</v>
      </c>
      <c r="N287" s="219" t="s">
        <v>163</v>
      </c>
      <c r="O287" s="219" t="s">
        <v>95</v>
      </c>
      <c r="P287" s="93" t="s">
        <v>1060</v>
      </c>
      <c r="R287" s="52" t="s">
        <v>197</v>
      </c>
      <c r="S287" s="53" t="s">
        <v>928</v>
      </c>
      <c r="T287" s="52" t="s">
        <v>966</v>
      </c>
      <c r="W287" s="50" t="str">
        <f t="array" ref="W287">IF($V$2=0,"",IFERROR(INDEX($B$3:$C$520,SMALL(IF($B$3:$B$520=$V$2,ROW($B$3:$B$520)-2),ROW(B285)),2),""))</f>
        <v/>
      </c>
      <c r="AL287" s="87" t="str">
        <f t="array" ref="AL287">IF($AK$2=0,"",IFERROR(INDEX($N$3:$O$499,SMALL(IF($N$3:$N$499=$AK$2,ROW($N$3:$N$499)-2),ROW(N285)),2),""))</f>
        <v/>
      </c>
      <c r="AP287" s="80"/>
    </row>
    <row r="288" spans="2:42">
      <c r="B288" s="24" t="s">
        <v>161</v>
      </c>
      <c r="C288" s="24" t="s">
        <v>157</v>
      </c>
      <c r="N288" s="219" t="s">
        <v>163</v>
      </c>
      <c r="O288" s="219" t="s">
        <v>96</v>
      </c>
      <c r="P288" s="93" t="s">
        <v>1060</v>
      </c>
      <c r="R288" s="52" t="s">
        <v>197</v>
      </c>
      <c r="S288" s="53" t="s">
        <v>926</v>
      </c>
      <c r="T288" s="52" t="s">
        <v>966</v>
      </c>
      <c r="W288" s="50" t="str">
        <f t="array" ref="W288">IF($V$2=0,"",IFERROR(INDEX($B$3:$C$520,SMALL(IF($B$3:$B$520=$V$2,ROW($B$3:$B$520)-2),ROW(B286)),2),""))</f>
        <v/>
      </c>
      <c r="AL288" s="87" t="str">
        <f t="array" ref="AL288">IF($AK$2=0,"",IFERROR(INDEX($N$3:$O$499,SMALL(IF($N$3:$N$499=$AK$2,ROW($N$3:$N$499)-2),ROW(N286)),2),""))</f>
        <v/>
      </c>
      <c r="AP288" s="80"/>
    </row>
    <row r="289" spans="2:42">
      <c r="B289" s="24" t="s">
        <v>161</v>
      </c>
      <c r="C289" s="24" t="s">
        <v>158</v>
      </c>
      <c r="N289" s="219" t="s">
        <v>163</v>
      </c>
      <c r="O289" s="219" t="s">
        <v>97</v>
      </c>
      <c r="P289" s="93" t="s">
        <v>1060</v>
      </c>
      <c r="R289" s="52" t="s">
        <v>197</v>
      </c>
      <c r="S289" s="53" t="s">
        <v>937</v>
      </c>
      <c r="T289" s="52" t="s">
        <v>966</v>
      </c>
      <c r="W289" s="50" t="str">
        <f t="array" ref="W289">IF($V$2=0,"",IFERROR(INDEX($B$3:$C$520,SMALL(IF($B$3:$B$520=$V$2,ROW($B$3:$B$520)-2),ROW(B287)),2),""))</f>
        <v/>
      </c>
      <c r="AL289" s="87" t="str">
        <f t="array" ref="AL289">IF($AK$2=0,"",IFERROR(INDEX($N$3:$O$499,SMALL(IF($N$3:$N$499=$AK$2,ROW($N$3:$N$499)-2),ROW(N287)),2),""))</f>
        <v/>
      </c>
      <c r="AP289" s="80"/>
    </row>
    <row r="290" spans="2:42">
      <c r="B290" s="24" t="s">
        <v>161</v>
      </c>
      <c r="C290" s="24" t="s">
        <v>159</v>
      </c>
      <c r="N290" s="219" t="s">
        <v>163</v>
      </c>
      <c r="O290" s="219" t="s">
        <v>98</v>
      </c>
      <c r="P290" s="93" t="s">
        <v>1060</v>
      </c>
      <c r="R290" s="52" t="s">
        <v>197</v>
      </c>
      <c r="S290" s="53" t="s">
        <v>939</v>
      </c>
      <c r="T290" s="52" t="s">
        <v>911</v>
      </c>
      <c r="W290" s="50" t="str">
        <f t="array" ref="W290">IF($V$2=0,"",IFERROR(INDEX($B$3:$C$520,SMALL(IF($B$3:$B$520=$V$2,ROW($B$3:$B$520)-2),ROW(B288)),2),""))</f>
        <v/>
      </c>
      <c r="AL290" s="87" t="str">
        <f t="array" ref="AL290">IF($AK$2=0,"",IFERROR(INDEX($N$3:$O$499,SMALL(IF($N$3:$N$499=$AK$2,ROW($N$3:$N$499)-2),ROW(N288)),2),""))</f>
        <v/>
      </c>
      <c r="AP290" s="80"/>
    </row>
    <row r="291" spans="2:42">
      <c r="B291" s="24" t="s">
        <v>161</v>
      </c>
      <c r="C291" s="24" t="s">
        <v>160</v>
      </c>
      <c r="N291" s="219" t="s">
        <v>163</v>
      </c>
      <c r="O291" s="219" t="s">
        <v>99</v>
      </c>
      <c r="P291" s="93" t="s">
        <v>1060</v>
      </c>
      <c r="R291" s="52" t="s">
        <v>197</v>
      </c>
      <c r="S291" s="53" t="s">
        <v>961</v>
      </c>
      <c r="T291" s="52" t="s">
        <v>911</v>
      </c>
      <c r="W291" s="50" t="str">
        <f t="array" ref="W291">IF($V$2=0,"",IFERROR(INDEX($B$3:$C$520,SMALL(IF($B$3:$B$520=$V$2,ROW($B$3:$B$520)-2),ROW(B289)),2),""))</f>
        <v/>
      </c>
      <c r="AL291" s="87" t="str">
        <f t="array" ref="AL291">IF($AK$2=0,"",IFERROR(INDEX($N$3:$O$499,SMALL(IF($N$3:$N$499=$AK$2,ROW($N$3:$N$499)-2),ROW(N289)),2),""))</f>
        <v/>
      </c>
      <c r="AP291" s="80"/>
    </row>
    <row r="292" spans="2:42">
      <c r="B292" s="24" t="s">
        <v>161</v>
      </c>
      <c r="C292" s="24" t="s">
        <v>1055</v>
      </c>
      <c r="N292" s="219" t="s">
        <v>163</v>
      </c>
      <c r="O292" s="219" t="s">
        <v>100</v>
      </c>
      <c r="P292" s="93" t="s">
        <v>1060</v>
      </c>
      <c r="R292" s="52" t="s">
        <v>197</v>
      </c>
      <c r="S292" s="53" t="s">
        <v>962</v>
      </c>
      <c r="T292" s="52" t="s">
        <v>911</v>
      </c>
      <c r="W292" s="50" t="str">
        <f t="array" ref="W292">IF($V$2=0,"",IFERROR(INDEX($B$3:$C$520,SMALL(IF($B$3:$B$520=$V$2,ROW($B$3:$B$520)-2),ROW(B290)),2),""))</f>
        <v/>
      </c>
      <c r="AL292" s="87" t="str">
        <f t="array" ref="AL292">IF($AK$2=0,"",IFERROR(INDEX($N$3:$O$499,SMALL(IF($N$3:$N$499=$AK$2,ROW($N$3:$N$499)-2),ROW(N290)),2),""))</f>
        <v/>
      </c>
      <c r="AP292" s="80"/>
    </row>
    <row r="293" spans="2:42">
      <c r="B293" s="24" t="s">
        <v>161</v>
      </c>
      <c r="C293" s="24" t="s">
        <v>162</v>
      </c>
      <c r="N293" s="219" t="s">
        <v>163</v>
      </c>
      <c r="O293" s="219" t="s">
        <v>101</v>
      </c>
      <c r="P293" s="93" t="s">
        <v>1060</v>
      </c>
      <c r="R293" s="52" t="s">
        <v>197</v>
      </c>
      <c r="S293" s="53" t="s">
        <v>964</v>
      </c>
      <c r="T293" s="52" t="s">
        <v>911</v>
      </c>
      <c r="W293" s="50" t="str">
        <f t="array" ref="W293">IF($V$2=0,"",IFERROR(INDEX($B$3:$C$520,SMALL(IF($B$3:$B$520=$V$2,ROW($B$3:$B$520)-2),ROW(B291)),2),""))</f>
        <v/>
      </c>
      <c r="AL293" s="87" t="str">
        <f t="array" ref="AL293">IF($AK$2=0,"",IFERROR(INDEX($N$3:$O$499,SMALL(IF($N$3:$N$499=$AK$2,ROW($N$3:$N$499)-2),ROW(N291)),2),""))</f>
        <v/>
      </c>
      <c r="AP293" s="80"/>
    </row>
    <row r="294" spans="2:42">
      <c r="B294" s="24" t="s">
        <v>163</v>
      </c>
      <c r="C294" s="24" t="s">
        <v>857</v>
      </c>
      <c r="N294" s="219" t="s">
        <v>163</v>
      </c>
      <c r="O294" s="219" t="s">
        <v>102</v>
      </c>
      <c r="P294" s="93" t="s">
        <v>1060</v>
      </c>
      <c r="R294" s="52" t="s">
        <v>197</v>
      </c>
      <c r="S294" s="53" t="s">
        <v>940</v>
      </c>
      <c r="T294" s="52" t="s">
        <v>911</v>
      </c>
      <c r="W294" s="50" t="str">
        <f t="array" ref="W294">IF($V$2=0,"",IFERROR(INDEX($B$3:$C$520,SMALL(IF($B$3:$B$520=$V$2,ROW($B$3:$B$520)-2),ROW(B292)),2),""))</f>
        <v/>
      </c>
      <c r="AL294" s="87" t="str">
        <f t="array" ref="AL294">IF($AK$2=0,"",IFERROR(INDEX($N$3:$O$499,SMALL(IF($N$3:$N$499=$AK$2,ROW($N$3:$N$499)-2),ROW(N292)),2),""))</f>
        <v/>
      </c>
      <c r="AP294" s="80"/>
    </row>
    <row r="295" spans="2:42">
      <c r="B295" s="24" t="s">
        <v>163</v>
      </c>
      <c r="C295" s="24" t="s">
        <v>858</v>
      </c>
      <c r="N295" s="219" t="s">
        <v>163</v>
      </c>
      <c r="O295" s="219" t="s">
        <v>103</v>
      </c>
      <c r="P295" s="93" t="s">
        <v>1060</v>
      </c>
      <c r="R295" s="52" t="s">
        <v>197</v>
      </c>
      <c r="S295" s="53" t="s">
        <v>948</v>
      </c>
      <c r="T295" s="52" t="s">
        <v>911</v>
      </c>
      <c r="W295" s="50" t="str">
        <f t="array" ref="W295">IF($V$2=0,"",IFERROR(INDEX($B$3:$C$520,SMALL(IF($B$3:$B$520=$V$2,ROW($B$3:$B$520)-2),ROW(B293)),2),""))</f>
        <v/>
      </c>
      <c r="AL295" s="87" t="str">
        <f t="array" ref="AL295">IF($AK$2=0,"",IFERROR(INDEX($N$3:$O$499,SMALL(IF($N$3:$N$499=$AK$2,ROW($N$3:$N$499)-2),ROW(N293)),2),""))</f>
        <v/>
      </c>
      <c r="AP295" s="80"/>
    </row>
    <row r="296" spans="2:42">
      <c r="B296" s="24" t="s">
        <v>163</v>
      </c>
      <c r="C296" s="24" t="s">
        <v>859</v>
      </c>
      <c r="N296" s="219" t="s">
        <v>163</v>
      </c>
      <c r="O296" s="219" t="s">
        <v>104</v>
      </c>
      <c r="P296" s="93" t="s">
        <v>1060</v>
      </c>
      <c r="R296" s="52" t="s">
        <v>197</v>
      </c>
      <c r="S296" s="53" t="s">
        <v>941</v>
      </c>
      <c r="T296" s="52" t="s">
        <v>911</v>
      </c>
      <c r="W296" s="50" t="str">
        <f t="array" ref="W296">IF($V$2=0,"",IFERROR(INDEX($B$3:$C$520,SMALL(IF($B$3:$B$520=$V$2,ROW($B$3:$B$520)-2),ROW(B294)),2),""))</f>
        <v/>
      </c>
      <c r="AL296" s="87" t="str">
        <f t="array" ref="AL296">IF($AK$2=0,"",IFERROR(INDEX($N$3:$O$499,SMALL(IF($N$3:$N$499=$AK$2,ROW($N$3:$N$499)-2),ROW(N294)),2),""))</f>
        <v/>
      </c>
      <c r="AP296" s="80"/>
    </row>
    <row r="297" spans="2:42">
      <c r="B297" s="24" t="s">
        <v>163</v>
      </c>
      <c r="C297" s="24" t="s">
        <v>860</v>
      </c>
      <c r="N297" s="219" t="s">
        <v>163</v>
      </c>
      <c r="O297" s="219" t="s">
        <v>105</v>
      </c>
      <c r="P297" s="93" t="s">
        <v>1060</v>
      </c>
      <c r="R297" s="52" t="s">
        <v>197</v>
      </c>
      <c r="S297" s="53" t="s">
        <v>905</v>
      </c>
      <c r="T297" s="52" t="s">
        <v>912</v>
      </c>
      <c r="W297" s="50" t="str">
        <f t="array" ref="W297">IF($V$2=0,"",IFERROR(INDEX($B$3:$C$520,SMALL(IF($B$3:$B$520=$V$2,ROW($B$3:$B$520)-2),ROW(B295)),2),""))</f>
        <v/>
      </c>
      <c r="AL297" s="87" t="str">
        <f t="array" ref="AL297">IF($AK$2=0,"",IFERROR(INDEX($N$3:$O$499,SMALL(IF($N$3:$N$499=$AK$2,ROW($N$3:$N$499)-2),ROW(N295)),2),""))</f>
        <v/>
      </c>
      <c r="AP297" s="80"/>
    </row>
    <row r="298" spans="2:42">
      <c r="B298" s="24" t="s">
        <v>163</v>
      </c>
      <c r="C298" s="24" t="s">
        <v>861</v>
      </c>
      <c r="N298" s="219" t="s">
        <v>163</v>
      </c>
      <c r="O298" s="219" t="s">
        <v>106</v>
      </c>
      <c r="P298" s="93" t="s">
        <v>1060</v>
      </c>
      <c r="R298" s="52" t="s">
        <v>197</v>
      </c>
      <c r="S298" s="53" t="s">
        <v>200</v>
      </c>
      <c r="T298" s="52" t="s">
        <v>912</v>
      </c>
      <c r="W298" s="50" t="str">
        <f t="array" ref="W298">IF($V$2=0,"",IFERROR(INDEX($B$3:$C$520,SMALL(IF($B$3:$B$520=$V$2,ROW($B$3:$B$520)-2),ROW(B296)),2),""))</f>
        <v/>
      </c>
      <c r="AL298" s="87" t="str">
        <f t="array" ref="AL298">IF($AK$2=0,"",IFERROR(INDEX($N$3:$O$499,SMALL(IF($N$3:$N$499=$AK$2,ROW($N$3:$N$499)-2),ROW(N296)),2),""))</f>
        <v/>
      </c>
      <c r="AP298" s="80"/>
    </row>
    <row r="299" spans="2:42">
      <c r="B299" s="24" t="s">
        <v>163</v>
      </c>
      <c r="C299" s="24" t="s">
        <v>862</v>
      </c>
      <c r="N299" s="219" t="s">
        <v>163</v>
      </c>
      <c r="O299" s="219" t="s">
        <v>107</v>
      </c>
      <c r="P299" s="93" t="s">
        <v>1060</v>
      </c>
      <c r="R299" s="52" t="s">
        <v>197</v>
      </c>
      <c r="S299" s="53" t="s">
        <v>906</v>
      </c>
      <c r="T299" s="52" t="s">
        <v>912</v>
      </c>
      <c r="W299" s="50" t="str">
        <f t="array" ref="W299">IF($V$2=0,"",IFERROR(INDEX($B$3:$C$520,SMALL(IF($B$3:$B$520=$V$2,ROW($B$3:$B$520)-2),ROW(B297)),2),""))</f>
        <v/>
      </c>
      <c r="AL299" s="87" t="str">
        <f t="array" ref="AL299">IF($AK$2=0,"",IFERROR(INDEX($N$3:$O$499,SMALL(IF($N$3:$N$499=$AK$2,ROW($N$3:$N$499)-2),ROW(N297)),2),""))</f>
        <v/>
      </c>
      <c r="AP299" s="80"/>
    </row>
    <row r="300" spans="2:42">
      <c r="B300" s="24" t="s">
        <v>163</v>
      </c>
      <c r="C300" s="24" t="s">
        <v>835</v>
      </c>
      <c r="N300" s="219" t="s">
        <v>163</v>
      </c>
      <c r="O300" s="219" t="s">
        <v>108</v>
      </c>
      <c r="P300" s="93" t="s">
        <v>1060</v>
      </c>
      <c r="R300" s="52" t="s">
        <v>197</v>
      </c>
      <c r="S300" s="53" t="s">
        <v>943</v>
      </c>
      <c r="T300" s="52" t="s">
        <v>912</v>
      </c>
      <c r="W300" s="50" t="str">
        <f t="array" ref="W300">IF($V$2=0,"",IFERROR(INDEX($B$3:$C$520,SMALL(IF($B$3:$B$520=$V$2,ROW($B$3:$B$520)-2),ROW(B298)),2),""))</f>
        <v/>
      </c>
      <c r="AL300" s="87" t="str">
        <f t="array" ref="AL300">IF($AK$2=0,"",IFERROR(INDEX($N$3:$O$499,SMALL(IF($N$3:$N$499=$AK$2,ROW($N$3:$N$499)-2),ROW(N298)),2),""))</f>
        <v/>
      </c>
      <c r="AP300" s="80"/>
    </row>
    <row r="301" spans="2:42">
      <c r="B301" s="24" t="s">
        <v>163</v>
      </c>
      <c r="C301" s="24" t="s">
        <v>836</v>
      </c>
      <c r="N301" s="219" t="s">
        <v>163</v>
      </c>
      <c r="O301" s="219" t="s">
        <v>109</v>
      </c>
      <c r="P301" s="93" t="s">
        <v>1060</v>
      </c>
      <c r="R301" s="52" t="s">
        <v>197</v>
      </c>
      <c r="S301" s="53" t="s">
        <v>435</v>
      </c>
      <c r="T301" s="52" t="s">
        <v>429</v>
      </c>
      <c r="W301" s="50" t="str">
        <f t="array" ref="W301">IF($V$2=0,"",IFERROR(INDEX($B$3:$C$520,SMALL(IF($B$3:$B$520=$V$2,ROW($B$3:$B$520)-2),ROW(B299)),2),""))</f>
        <v/>
      </c>
      <c r="AL301" s="87" t="str">
        <f t="array" ref="AL301">IF($AK$2=0,"",IFERROR(INDEX($N$3:$O$499,SMALL(IF($N$3:$N$499=$AK$2,ROW($N$3:$N$499)-2),ROW(N299)),2),""))</f>
        <v/>
      </c>
      <c r="AP301" s="80"/>
    </row>
    <row r="302" spans="2:42">
      <c r="B302" s="24" t="s">
        <v>163</v>
      </c>
      <c r="C302" s="24" t="s">
        <v>863</v>
      </c>
      <c r="N302" s="219" t="s">
        <v>163</v>
      </c>
      <c r="O302" s="219" t="s">
        <v>110</v>
      </c>
      <c r="P302" s="93" t="s">
        <v>1060</v>
      </c>
      <c r="R302" s="52" t="s">
        <v>197</v>
      </c>
      <c r="S302" s="53" t="s">
        <v>907</v>
      </c>
      <c r="T302" s="52" t="s">
        <v>429</v>
      </c>
      <c r="W302" s="50" t="str">
        <f t="array" ref="W302">IF($V$2=0,"",IFERROR(INDEX($B$3:$C$520,SMALL(IF($B$3:$B$520=$V$2,ROW($B$3:$B$520)-2),ROW(B300)),2),""))</f>
        <v/>
      </c>
      <c r="AL302" s="87" t="str">
        <f t="array" ref="AL302">IF($AK$2=0,"",IFERROR(INDEX($N$3:$O$499,SMALL(IF($N$3:$N$499=$AK$2,ROW($N$3:$N$499)-2),ROW(N300)),2),""))</f>
        <v/>
      </c>
      <c r="AP302" s="80"/>
    </row>
    <row r="303" spans="2:42">
      <c r="B303" s="24" t="s">
        <v>163</v>
      </c>
      <c r="C303" s="24" t="s">
        <v>864</v>
      </c>
      <c r="N303" s="219" t="s">
        <v>163</v>
      </c>
      <c r="O303" s="219" t="s">
        <v>111</v>
      </c>
      <c r="P303" s="93" t="s">
        <v>1060</v>
      </c>
      <c r="R303" s="52" t="s">
        <v>197</v>
      </c>
      <c r="S303" s="53" t="s">
        <v>945</v>
      </c>
      <c r="T303" s="52" t="s">
        <v>429</v>
      </c>
      <c r="W303" s="50" t="str">
        <f t="array" ref="W303">IF($V$2=0,"",IFERROR(INDEX($B$3:$C$520,SMALL(IF($B$3:$B$520=$V$2,ROW($B$3:$B$520)-2),ROW(B301)),2),""))</f>
        <v/>
      </c>
      <c r="AL303" s="87" t="str">
        <f t="array" ref="AL303">IF($AK$2=0,"",IFERROR(INDEX($N$3:$O$499,SMALL(IF($N$3:$N$499=$AK$2,ROW($N$3:$N$499)-2),ROW(N301)),2),""))</f>
        <v/>
      </c>
      <c r="AP303" s="80"/>
    </row>
    <row r="304" spans="2:42">
      <c r="B304" s="24" t="s">
        <v>163</v>
      </c>
      <c r="C304" s="24" t="s">
        <v>865</v>
      </c>
      <c r="N304" s="219" t="s">
        <v>163</v>
      </c>
      <c r="O304" s="219" t="s">
        <v>112</v>
      </c>
      <c r="P304" s="93" t="s">
        <v>1060</v>
      </c>
      <c r="R304" s="52" t="s">
        <v>197</v>
      </c>
      <c r="S304" s="53" t="s">
        <v>436</v>
      </c>
      <c r="T304" s="52" t="s">
        <v>429</v>
      </c>
      <c r="W304" s="50" t="str">
        <f t="array" ref="W304">IF($V$2=0,"",IFERROR(INDEX($B$3:$C$520,SMALL(IF($B$3:$B$520=$V$2,ROW($B$3:$B$520)-2),ROW(B302)),2),""))</f>
        <v/>
      </c>
      <c r="AL304" s="87" t="str">
        <f t="array" ref="AL304">IF($AK$2=0,"",IFERROR(INDEX($N$3:$O$499,SMALL(IF($N$3:$N$499=$AK$2,ROW($N$3:$N$499)-2),ROW(N302)),2),""))</f>
        <v/>
      </c>
      <c r="AP304" s="80"/>
    </row>
    <row r="305" spans="2:42">
      <c r="B305" s="24" t="s">
        <v>163</v>
      </c>
      <c r="C305" s="24" t="s">
        <v>866</v>
      </c>
      <c r="N305" s="219" t="s">
        <v>163</v>
      </c>
      <c r="O305" s="219" t="s">
        <v>113</v>
      </c>
      <c r="P305" s="93" t="s">
        <v>1060</v>
      </c>
      <c r="R305" s="52" t="s">
        <v>197</v>
      </c>
      <c r="S305" s="53" t="s">
        <v>946</v>
      </c>
      <c r="T305" s="52" t="s">
        <v>429</v>
      </c>
      <c r="W305" s="50" t="str">
        <f t="array" ref="W305">IF($V$2=0,"",IFERROR(INDEX($B$3:$C$520,SMALL(IF($B$3:$B$520=$V$2,ROW($B$3:$B$520)-2),ROW(B303)),2),""))</f>
        <v/>
      </c>
      <c r="AL305" s="87" t="str">
        <f t="array" ref="AL305">IF($AK$2=0,"",IFERROR(INDEX($N$3:$O$499,SMALL(IF($N$3:$N$499=$AK$2,ROW($N$3:$N$499)-2),ROW(N303)),2),""))</f>
        <v/>
      </c>
      <c r="AP305" s="80"/>
    </row>
    <row r="306" spans="2:42">
      <c r="B306" s="24" t="s">
        <v>163</v>
      </c>
      <c r="C306" s="24" t="s">
        <v>867</v>
      </c>
      <c r="N306" s="219" t="s">
        <v>163</v>
      </c>
      <c r="O306" s="219" t="s">
        <v>114</v>
      </c>
      <c r="P306" s="93" t="s">
        <v>1060</v>
      </c>
      <c r="R306" s="52" t="s">
        <v>197</v>
      </c>
      <c r="S306" s="53" t="s">
        <v>949</v>
      </c>
      <c r="T306" s="52" t="s">
        <v>429</v>
      </c>
      <c r="W306" s="50" t="str">
        <f t="array" ref="W306">IF($V$2=0,"",IFERROR(INDEX($B$3:$C$520,SMALL(IF($B$3:$B$520=$V$2,ROW($B$3:$B$520)-2),ROW(B304)),2),""))</f>
        <v/>
      </c>
      <c r="AL306" s="87" t="str">
        <f t="array" ref="AL306">IF($AK$2=0,"",IFERROR(INDEX($N$3:$O$499,SMALL(IF($N$3:$N$499=$AK$2,ROW($N$3:$N$499)-2),ROW(N304)),2),""))</f>
        <v/>
      </c>
      <c r="AP306" s="80"/>
    </row>
    <row r="307" spans="2:42">
      <c r="B307" s="24" t="s">
        <v>163</v>
      </c>
      <c r="C307" s="24" t="s">
        <v>868</v>
      </c>
      <c r="N307" s="219" t="s">
        <v>163</v>
      </c>
      <c r="O307" s="219" t="s">
        <v>115</v>
      </c>
      <c r="P307" s="93" t="s">
        <v>1060</v>
      </c>
      <c r="R307" s="52" t="s">
        <v>131</v>
      </c>
      <c r="S307" s="53" t="s">
        <v>893</v>
      </c>
      <c r="T307" s="52" t="s">
        <v>908</v>
      </c>
      <c r="W307" s="50" t="str">
        <f t="array" ref="W307">IF($V$2=0,"",IFERROR(INDEX($B$3:$C$520,SMALL(IF($B$3:$B$520=$V$2,ROW($B$3:$B$520)-2),ROW(B305)),2),""))</f>
        <v/>
      </c>
      <c r="AL307" s="87" t="str">
        <f t="array" ref="AL307">IF($AK$2=0,"",IFERROR(INDEX($N$3:$O$499,SMALL(IF($N$3:$N$499=$AK$2,ROW($N$3:$N$499)-2),ROW(N305)),2),""))</f>
        <v/>
      </c>
      <c r="AP307" s="80"/>
    </row>
    <row r="308" spans="2:42">
      <c r="B308" s="24" t="s">
        <v>163</v>
      </c>
      <c r="C308" s="24" t="s">
        <v>869</v>
      </c>
      <c r="N308" s="219" t="s">
        <v>163</v>
      </c>
      <c r="O308" s="219" t="s">
        <v>116</v>
      </c>
      <c r="P308" s="93" t="s">
        <v>1060</v>
      </c>
      <c r="R308" s="52" t="s">
        <v>131</v>
      </c>
      <c r="S308" s="53" t="s">
        <v>915</v>
      </c>
      <c r="T308" s="52" t="s">
        <v>908</v>
      </c>
      <c r="W308" s="50" t="str">
        <f t="array" ref="W308">IF($V$2=0,"",IFERROR(INDEX($B$3:$C$520,SMALL(IF($B$3:$B$520=$V$2,ROW($B$3:$B$520)-2),ROW(B306)),2),""))</f>
        <v/>
      </c>
      <c r="AL308" s="71"/>
      <c r="AP308" s="80"/>
    </row>
    <row r="309" spans="2:42">
      <c r="B309" s="24" t="s">
        <v>163</v>
      </c>
      <c r="C309" s="24" t="s">
        <v>870</v>
      </c>
      <c r="N309" s="219" t="s">
        <v>163</v>
      </c>
      <c r="O309" s="219" t="s">
        <v>117</v>
      </c>
      <c r="P309" s="93" t="s">
        <v>1060</v>
      </c>
      <c r="R309" s="52" t="s">
        <v>131</v>
      </c>
      <c r="S309" s="53" t="s">
        <v>918</v>
      </c>
      <c r="T309" s="52" t="s">
        <v>908</v>
      </c>
      <c r="W309" s="50" t="str">
        <f t="array" ref="W309">IF($V$2=0,"",IFERROR(INDEX($B$3:$C$520,SMALL(IF($B$3:$B$520=$V$2,ROW($B$3:$B$520)-2),ROW(B307)),2),""))</f>
        <v/>
      </c>
      <c r="AL309" s="71"/>
      <c r="AP309" s="80"/>
    </row>
    <row r="310" spans="2:42">
      <c r="B310" s="24" t="s">
        <v>163</v>
      </c>
      <c r="C310" s="24" t="s">
        <v>871</v>
      </c>
      <c r="N310" s="219" t="s">
        <v>163</v>
      </c>
      <c r="O310" s="219" t="s">
        <v>118</v>
      </c>
      <c r="P310" s="93" t="s">
        <v>1060</v>
      </c>
      <c r="R310" s="52" t="s">
        <v>131</v>
      </c>
      <c r="S310" s="53" t="s">
        <v>919</v>
      </c>
      <c r="T310" s="52" t="s">
        <v>908</v>
      </c>
      <c r="W310" s="50" t="str">
        <f t="array" ref="W310">IF($V$2=0,"",IFERROR(INDEX($B$3:$C$520,SMALL(IF($B$3:$B$520=$V$2,ROW($B$3:$B$520)-2),ROW(B308)),2),""))</f>
        <v/>
      </c>
      <c r="AL310" s="71"/>
      <c r="AP310" s="80"/>
    </row>
    <row r="311" spans="2:42">
      <c r="B311" s="24" t="s">
        <v>163</v>
      </c>
      <c r="C311" s="24" t="s">
        <v>872</v>
      </c>
      <c r="N311" s="219" t="s">
        <v>163</v>
      </c>
      <c r="O311" s="219" t="s">
        <v>119</v>
      </c>
      <c r="P311" s="93" t="s">
        <v>1060</v>
      </c>
      <c r="R311" s="52" t="s">
        <v>131</v>
      </c>
      <c r="S311" s="53" t="s">
        <v>920</v>
      </c>
      <c r="T311" s="52" t="s">
        <v>908</v>
      </c>
      <c r="W311" s="50" t="str">
        <f t="array" ref="W311">IF($V$2=0,"",IFERROR(INDEX($B$3:$C$520,SMALL(IF($B$3:$B$520=$V$2,ROW($B$3:$B$520)-2),ROW(B309)),2),""))</f>
        <v/>
      </c>
      <c r="AL311" s="71"/>
      <c r="AP311" s="80"/>
    </row>
    <row r="312" spans="2:42">
      <c r="B312" s="24" t="s">
        <v>163</v>
      </c>
      <c r="C312" s="24" t="s">
        <v>873</v>
      </c>
      <c r="N312" s="219" t="s">
        <v>163</v>
      </c>
      <c r="O312" s="219" t="s">
        <v>120</v>
      </c>
      <c r="P312" s="93" t="s">
        <v>1060</v>
      </c>
      <c r="R312" s="52" t="s">
        <v>131</v>
      </c>
      <c r="S312" s="53" t="s">
        <v>921</v>
      </c>
      <c r="T312" s="52" t="s">
        <v>908</v>
      </c>
      <c r="W312" s="50" t="str">
        <f t="array" ref="W312">IF($V$2=0,"",IFERROR(INDEX($B$3:$C$520,SMALL(IF($B$3:$B$520=$V$2,ROW($B$3:$B$520)-2),ROW(B310)),2),""))</f>
        <v/>
      </c>
      <c r="AL312" s="71"/>
      <c r="AP312" s="80"/>
    </row>
    <row r="313" spans="2:42">
      <c r="B313" s="24" t="s">
        <v>163</v>
      </c>
      <c r="C313" s="24" t="s">
        <v>874</v>
      </c>
      <c r="N313" s="219" t="s">
        <v>163</v>
      </c>
      <c r="O313" s="219" t="s">
        <v>121</v>
      </c>
      <c r="P313" s="93" t="s">
        <v>1060</v>
      </c>
      <c r="R313" s="52" t="s">
        <v>131</v>
      </c>
      <c r="S313" s="53" t="s">
        <v>893</v>
      </c>
      <c r="T313" s="52" t="s">
        <v>909</v>
      </c>
      <c r="W313" s="50" t="str">
        <f t="array" ref="W313">IF($V$2=0,"",IFERROR(INDEX($B$3:$C$520,SMALL(IF($B$3:$B$520=$V$2,ROW($B$3:$B$520)-2),ROW(B311)),2),""))</f>
        <v/>
      </c>
      <c r="AL313" s="71"/>
      <c r="AP313" s="80"/>
    </row>
    <row r="314" spans="2:42">
      <c r="B314" s="24" t="s">
        <v>163</v>
      </c>
      <c r="C314" s="24" t="s">
        <v>875</v>
      </c>
      <c r="N314" s="219" t="s">
        <v>163</v>
      </c>
      <c r="O314" s="219" t="s">
        <v>122</v>
      </c>
      <c r="P314" s="93" t="s">
        <v>1060</v>
      </c>
      <c r="R314" s="52" t="s">
        <v>131</v>
      </c>
      <c r="S314" s="53" t="s">
        <v>965</v>
      </c>
      <c r="T314" s="52" t="s">
        <v>909</v>
      </c>
      <c r="W314" s="50" t="str">
        <f t="array" ref="W314">IF($V$2=0,"",IFERROR(INDEX($B$3:$C$520,SMALL(IF($B$3:$B$520=$V$2,ROW($B$3:$B$520)-2),ROW(B312)),2),""))</f>
        <v/>
      </c>
      <c r="AL314" s="71"/>
      <c r="AP314" s="80"/>
    </row>
    <row r="315" spans="2:42">
      <c r="B315" s="24" t="s">
        <v>163</v>
      </c>
      <c r="C315" s="24" t="s">
        <v>876</v>
      </c>
      <c r="N315" s="219" t="s">
        <v>163</v>
      </c>
      <c r="O315" s="219" t="s">
        <v>123</v>
      </c>
      <c r="P315" s="93" t="s">
        <v>1060</v>
      </c>
      <c r="R315" s="52" t="s">
        <v>131</v>
      </c>
      <c r="S315" s="53" t="s">
        <v>932</v>
      </c>
      <c r="T315" s="52" t="s">
        <v>966</v>
      </c>
      <c r="W315" s="50" t="str">
        <f t="array" ref="W315">IF($V$2=0,"",IFERROR(INDEX($B$3:$C$520,SMALL(IF($B$3:$B$520=$V$2,ROW($B$3:$B$520)-2),ROW(B313)),2),""))</f>
        <v/>
      </c>
      <c r="AL315" s="71"/>
      <c r="AP315" s="80"/>
    </row>
    <row r="316" spans="2:42">
      <c r="B316" s="24" t="s">
        <v>163</v>
      </c>
      <c r="C316" s="24" t="s">
        <v>877</v>
      </c>
      <c r="N316" s="219" t="s">
        <v>163</v>
      </c>
      <c r="O316" s="219" t="s">
        <v>124</v>
      </c>
      <c r="P316" s="93" t="s">
        <v>1060</v>
      </c>
      <c r="R316" s="52" t="s">
        <v>131</v>
      </c>
      <c r="S316" s="53" t="s">
        <v>927</v>
      </c>
      <c r="T316" s="52" t="s">
        <v>966</v>
      </c>
      <c r="W316" s="50" t="str">
        <f t="array" ref="W316">IF($V$2=0,"",IFERROR(INDEX($B$3:$C$520,SMALL(IF($B$3:$B$520=$V$2,ROW($B$3:$B$520)-2),ROW(B314)),2),""))</f>
        <v/>
      </c>
      <c r="AL316" s="71"/>
      <c r="AP316" s="80"/>
    </row>
    <row r="317" spans="2:42">
      <c r="B317" s="24" t="s">
        <v>163</v>
      </c>
      <c r="C317" s="24" t="s">
        <v>878</v>
      </c>
      <c r="N317" s="219" t="s">
        <v>163</v>
      </c>
      <c r="O317" s="219" t="s">
        <v>125</v>
      </c>
      <c r="P317" s="93" t="s">
        <v>1060</v>
      </c>
      <c r="R317" s="52" t="s">
        <v>131</v>
      </c>
      <c r="S317" s="53" t="s">
        <v>936</v>
      </c>
      <c r="T317" s="52" t="s">
        <v>966</v>
      </c>
      <c r="W317" s="50" t="str">
        <f t="array" ref="W317">IF($V$2=0,"",IFERROR(INDEX($B$3:$C$520,SMALL(IF($B$3:$B$520=$V$2,ROW($B$3:$B$520)-2),ROW(B315)),2),""))</f>
        <v/>
      </c>
      <c r="AL317" s="71"/>
      <c r="AP317" s="80"/>
    </row>
    <row r="318" spans="2:42">
      <c r="B318" s="24" t="s">
        <v>163</v>
      </c>
      <c r="C318" s="24" t="s">
        <v>879</v>
      </c>
      <c r="N318" s="219" t="s">
        <v>163</v>
      </c>
      <c r="O318" s="219" t="s">
        <v>126</v>
      </c>
      <c r="P318" s="93" t="s">
        <v>1060</v>
      </c>
      <c r="R318" s="52" t="s">
        <v>131</v>
      </c>
      <c r="S318" s="53" t="s">
        <v>928</v>
      </c>
      <c r="T318" s="52" t="s">
        <v>966</v>
      </c>
      <c r="W318" s="50" t="str">
        <f t="array" ref="W318">IF($V$2=0,"",IFERROR(INDEX($B$3:$C$520,SMALL(IF($B$3:$B$520=$V$2,ROW($B$3:$B$520)-2),ROW(B316)),2),""))</f>
        <v/>
      </c>
      <c r="AL318" s="71"/>
      <c r="AP318" s="80"/>
    </row>
    <row r="319" spans="2:42">
      <c r="B319" s="24" t="s">
        <v>163</v>
      </c>
      <c r="C319" s="24" t="s">
        <v>880</v>
      </c>
      <c r="N319" s="219" t="s">
        <v>163</v>
      </c>
      <c r="O319" s="219" t="s">
        <v>127</v>
      </c>
      <c r="P319" s="93" t="s">
        <v>1060</v>
      </c>
      <c r="R319" s="52" t="s">
        <v>131</v>
      </c>
      <c r="S319" s="53" t="s">
        <v>926</v>
      </c>
      <c r="T319" s="52" t="s">
        <v>966</v>
      </c>
      <c r="W319" s="50" t="str">
        <f t="array" ref="W319">IF($V$2=0,"",IFERROR(INDEX($B$3:$C$520,SMALL(IF($B$3:$B$520=$V$2,ROW($B$3:$B$520)-2),ROW(B317)),2),""))</f>
        <v/>
      </c>
      <c r="AL319" s="71"/>
      <c r="AP319" s="80"/>
    </row>
    <row r="320" spans="2:42">
      <c r="B320" s="24" t="s">
        <v>163</v>
      </c>
      <c r="C320" s="24" t="s">
        <v>881</v>
      </c>
      <c r="N320" s="219" t="s">
        <v>163</v>
      </c>
      <c r="O320" s="219" t="s">
        <v>128</v>
      </c>
      <c r="P320" s="93" t="s">
        <v>1060</v>
      </c>
      <c r="R320" s="52" t="s">
        <v>131</v>
      </c>
      <c r="S320" s="53" t="s">
        <v>937</v>
      </c>
      <c r="T320" s="52" t="s">
        <v>966</v>
      </c>
      <c r="W320" s="50" t="str">
        <f t="array" ref="W320">IF($V$2=0,"",IFERROR(INDEX($B$3:$C$520,SMALL(IF($B$3:$B$520=$V$2,ROW($B$3:$B$520)-2),ROW(B318)),2),""))</f>
        <v/>
      </c>
      <c r="AL320" s="71"/>
      <c r="AP320" s="80"/>
    </row>
    <row r="321" spans="2:42">
      <c r="B321" s="24" t="s">
        <v>163</v>
      </c>
      <c r="C321" s="24" t="s">
        <v>882</v>
      </c>
      <c r="N321" s="219" t="s">
        <v>163</v>
      </c>
      <c r="O321" s="219" t="s">
        <v>129</v>
      </c>
      <c r="P321" s="93" t="s">
        <v>1060</v>
      </c>
      <c r="R321" s="52" t="s">
        <v>131</v>
      </c>
      <c r="S321" s="53" t="s">
        <v>939</v>
      </c>
      <c r="T321" s="52" t="s">
        <v>911</v>
      </c>
      <c r="W321" s="50" t="str">
        <f t="array" ref="W321">IF($V$2=0,"",IFERROR(INDEX($B$3:$C$520,SMALL(IF($B$3:$B$520=$V$2,ROW($B$3:$B$520)-2),ROW(B319)),2),""))</f>
        <v/>
      </c>
      <c r="AL321" s="71"/>
      <c r="AP321" s="80"/>
    </row>
    <row r="322" spans="2:42">
      <c r="B322" s="24" t="s">
        <v>163</v>
      </c>
      <c r="C322" s="24" t="s">
        <v>883</v>
      </c>
      <c r="N322" s="219" t="s">
        <v>163</v>
      </c>
      <c r="O322" s="219" t="s">
        <v>772</v>
      </c>
      <c r="P322" s="93" t="s">
        <v>1060</v>
      </c>
      <c r="R322" s="52" t="s">
        <v>131</v>
      </c>
      <c r="S322" s="53" t="s">
        <v>961</v>
      </c>
      <c r="T322" s="52" t="s">
        <v>911</v>
      </c>
      <c r="W322" s="50" t="str">
        <f t="array" ref="W322">IF($V$2=0,"",IFERROR(INDEX($B$3:$C$520,SMALL(IF($B$3:$B$520=$V$2,ROW($B$3:$B$520)-2),ROW(B320)),2),""))</f>
        <v/>
      </c>
      <c r="AL322" s="71"/>
      <c r="AP322" s="80"/>
    </row>
    <row r="323" spans="2:42">
      <c r="B323" s="24" t="s">
        <v>163</v>
      </c>
      <c r="C323" s="24" t="s">
        <v>884</v>
      </c>
      <c r="N323" s="219" t="s">
        <v>163</v>
      </c>
      <c r="O323" s="219" t="s">
        <v>774</v>
      </c>
      <c r="P323" s="93" t="s">
        <v>1060</v>
      </c>
      <c r="R323" s="52" t="s">
        <v>131</v>
      </c>
      <c r="S323" s="53" t="s">
        <v>962</v>
      </c>
      <c r="T323" s="52" t="s">
        <v>911</v>
      </c>
      <c r="W323" s="50" t="str">
        <f t="array" ref="W323">IF($V$2=0,"",IFERROR(INDEX($B$3:$C$520,SMALL(IF($B$3:$B$520=$V$2,ROW($B$3:$B$520)-2),ROW(B321)),2),""))</f>
        <v/>
      </c>
      <c r="AL323" s="71"/>
      <c r="AP323" s="80"/>
    </row>
    <row r="324" spans="2:42">
      <c r="B324" s="24" t="s">
        <v>197</v>
      </c>
      <c r="C324" s="24" t="s">
        <v>968</v>
      </c>
      <c r="N324" s="219" t="s">
        <v>163</v>
      </c>
      <c r="O324" s="219" t="s">
        <v>775</v>
      </c>
      <c r="P324" s="93" t="s">
        <v>1060</v>
      </c>
      <c r="R324" s="52" t="s">
        <v>131</v>
      </c>
      <c r="S324" s="53" t="s">
        <v>940</v>
      </c>
      <c r="T324" s="52" t="s">
        <v>911</v>
      </c>
      <c r="W324" s="50" t="str">
        <f t="array" ref="W324">IF($V$2=0,"",IFERROR(INDEX($B$3:$C$520,SMALL(IF($B$3:$B$520=$V$2,ROW($B$3:$B$520)-2),ROW(B322)),2),""))</f>
        <v/>
      </c>
      <c r="AL324" s="71"/>
      <c r="AP324" s="80"/>
    </row>
    <row r="325" spans="2:42">
      <c r="B325" s="24" t="s">
        <v>197</v>
      </c>
      <c r="C325" s="24" t="s">
        <v>969</v>
      </c>
      <c r="N325" s="219" t="s">
        <v>163</v>
      </c>
      <c r="O325" s="219" t="s">
        <v>773</v>
      </c>
      <c r="P325" s="93" t="s">
        <v>1060</v>
      </c>
      <c r="R325" s="52" t="s">
        <v>131</v>
      </c>
      <c r="S325" s="53" t="s">
        <v>948</v>
      </c>
      <c r="T325" s="52" t="s">
        <v>911</v>
      </c>
      <c r="W325" s="50" t="str">
        <f t="array" ref="W325">IF($V$2=0,"",IFERROR(INDEX($B$3:$C$520,SMALL(IF($B$3:$B$520=$V$2,ROW($B$3:$B$520)-2),ROW(B323)),2),""))</f>
        <v/>
      </c>
      <c r="AL325" s="71"/>
      <c r="AP325" s="80"/>
    </row>
    <row r="326" spans="2:42">
      <c r="B326" s="24" t="s">
        <v>197</v>
      </c>
      <c r="C326" s="24" t="s">
        <v>970</v>
      </c>
      <c r="N326" s="219" t="s">
        <v>163</v>
      </c>
      <c r="O326" s="219" t="s">
        <v>776</v>
      </c>
      <c r="P326" s="93" t="s">
        <v>1060</v>
      </c>
      <c r="R326" s="52" t="s">
        <v>131</v>
      </c>
      <c r="S326" s="53" t="s">
        <v>941</v>
      </c>
      <c r="T326" s="52" t="s">
        <v>911</v>
      </c>
      <c r="W326" s="50" t="str">
        <f t="array" ref="W326">IF($V$2=0,"",IFERROR(INDEX($B$3:$C$520,SMALL(IF($B$3:$B$520=$V$2,ROW($B$3:$B$520)-2),ROW(B324)),2),""))</f>
        <v/>
      </c>
      <c r="AL326" s="71"/>
      <c r="AP326" s="80"/>
    </row>
    <row r="327" spans="2:42">
      <c r="B327" s="24" t="s">
        <v>197</v>
      </c>
      <c r="C327" s="24" t="s">
        <v>971</v>
      </c>
      <c r="N327" s="219" t="s">
        <v>163</v>
      </c>
      <c r="O327" s="219" t="s">
        <v>777</v>
      </c>
      <c r="P327" s="93" t="s">
        <v>1060</v>
      </c>
      <c r="R327" s="52" t="s">
        <v>131</v>
      </c>
      <c r="S327" s="53" t="s">
        <v>905</v>
      </c>
      <c r="T327" s="52" t="s">
        <v>912</v>
      </c>
      <c r="W327" s="50" t="str">
        <f t="array" ref="W327">IF($V$2=0,"",IFERROR(INDEX($B$3:$C$520,SMALL(IF($B$3:$B$520=$V$2,ROW($B$3:$B$520)-2),ROW(B325)),2),""))</f>
        <v/>
      </c>
      <c r="AL327" s="71"/>
      <c r="AP327" s="80"/>
    </row>
    <row r="328" spans="2:42">
      <c r="B328" s="24" t="s">
        <v>197</v>
      </c>
      <c r="C328" s="24" t="s">
        <v>972</v>
      </c>
      <c r="N328" s="219" t="s">
        <v>92</v>
      </c>
      <c r="O328" s="219" t="s">
        <v>133</v>
      </c>
      <c r="P328" s="93" t="s">
        <v>1060</v>
      </c>
      <c r="R328" s="52" t="s">
        <v>131</v>
      </c>
      <c r="S328" s="53" t="s">
        <v>200</v>
      </c>
      <c r="T328" s="52" t="s">
        <v>912</v>
      </c>
      <c r="W328" s="50" t="str">
        <f t="array" ref="W328">IF($V$2=0,"",IFERROR(INDEX($B$3:$C$520,SMALL(IF($B$3:$B$520=$V$2,ROW($B$3:$B$520)-2),ROW(B326)),2),""))</f>
        <v/>
      </c>
      <c r="AL328" s="71"/>
      <c r="AP328" s="80"/>
    </row>
    <row r="329" spans="2:42">
      <c r="B329" s="24" t="s">
        <v>197</v>
      </c>
      <c r="C329" s="24" t="s">
        <v>973</v>
      </c>
      <c r="N329" s="219" t="s">
        <v>92</v>
      </c>
      <c r="O329" s="219" t="s">
        <v>134</v>
      </c>
      <c r="P329" s="93" t="s">
        <v>1060</v>
      </c>
      <c r="R329" s="52" t="s">
        <v>131</v>
      </c>
      <c r="S329" s="53" t="s">
        <v>906</v>
      </c>
      <c r="T329" s="52" t="s">
        <v>912</v>
      </c>
      <c r="W329" s="50" t="str">
        <f t="array" ref="W329">IF($V$2=0,"",IFERROR(INDEX($B$3:$C$520,SMALL(IF($B$3:$B$520=$V$2,ROW($B$3:$B$520)-2),ROW(B327)),2),""))</f>
        <v/>
      </c>
      <c r="AL329" s="71"/>
      <c r="AP329" s="80"/>
    </row>
    <row r="330" spans="2:42">
      <c r="B330" s="24" t="s">
        <v>197</v>
      </c>
      <c r="C330" s="24" t="s">
        <v>974</v>
      </c>
      <c r="N330" s="219" t="s">
        <v>92</v>
      </c>
      <c r="O330" s="219" t="s">
        <v>135</v>
      </c>
      <c r="P330" s="93" t="s">
        <v>1060</v>
      </c>
      <c r="R330" s="52" t="s">
        <v>131</v>
      </c>
      <c r="S330" s="53" t="s">
        <v>943</v>
      </c>
      <c r="T330" s="52" t="s">
        <v>912</v>
      </c>
      <c r="W330" s="50" t="str">
        <f t="array" ref="W330">IF($V$2=0,"",IFERROR(INDEX($B$3:$C$520,SMALL(IF($B$3:$B$520=$V$2,ROW($B$3:$B$520)-2),ROW(B328)),2),""))</f>
        <v/>
      </c>
      <c r="AL330" s="71"/>
      <c r="AP330" s="80"/>
    </row>
    <row r="331" spans="2:42">
      <c r="B331" s="24" t="s">
        <v>197</v>
      </c>
      <c r="C331" s="24" t="s">
        <v>975</v>
      </c>
      <c r="N331" s="219" t="s">
        <v>92</v>
      </c>
      <c r="O331" s="219" t="s">
        <v>136</v>
      </c>
      <c r="P331" s="93" t="s">
        <v>1060</v>
      </c>
      <c r="R331" s="52" t="s">
        <v>131</v>
      </c>
      <c r="S331" s="53" t="s">
        <v>901</v>
      </c>
      <c r="T331" s="52" t="s">
        <v>429</v>
      </c>
      <c r="W331" s="50" t="str">
        <f t="array" ref="W331">IF($V$2=0,"",IFERROR(INDEX($B$3:$C$520,SMALL(IF($B$3:$B$520=$V$2,ROW($B$3:$B$520)-2),ROW(B329)),2),""))</f>
        <v/>
      </c>
      <c r="AL331" s="71"/>
      <c r="AP331" s="80"/>
    </row>
    <row r="332" spans="2:42">
      <c r="B332" s="24" t="s">
        <v>197</v>
      </c>
      <c r="C332" s="24" t="s">
        <v>976</v>
      </c>
      <c r="N332" s="219" t="s">
        <v>92</v>
      </c>
      <c r="O332" s="219" t="s">
        <v>137</v>
      </c>
      <c r="P332" s="93" t="s">
        <v>1058</v>
      </c>
      <c r="R332" s="52" t="s">
        <v>131</v>
      </c>
      <c r="S332" s="53" t="s">
        <v>907</v>
      </c>
      <c r="T332" s="52" t="s">
        <v>429</v>
      </c>
      <c r="W332" s="50" t="str">
        <f t="array" ref="W332">IF($V$2=0,"",IFERROR(INDEX($B$3:$C$520,SMALL(IF($B$3:$B$520=$V$2,ROW($B$3:$B$520)-2),ROW(B330)),2),""))</f>
        <v/>
      </c>
      <c r="AL332" s="71"/>
      <c r="AP332" s="80"/>
    </row>
    <row r="333" spans="2:42">
      <c r="B333" s="24" t="s">
        <v>197</v>
      </c>
      <c r="C333" s="24" t="s">
        <v>977</v>
      </c>
      <c r="N333" s="219" t="s">
        <v>92</v>
      </c>
      <c r="O333" s="219" t="s">
        <v>138</v>
      </c>
      <c r="P333" s="93" t="s">
        <v>1058</v>
      </c>
      <c r="R333" s="52" t="s">
        <v>131</v>
      </c>
      <c r="S333" s="53" t="s">
        <v>945</v>
      </c>
      <c r="T333" s="52" t="s">
        <v>429</v>
      </c>
      <c r="W333" s="50" t="str">
        <f t="array" ref="W333">IF($V$2=0,"",IFERROR(INDEX($B$3:$C$520,SMALL(IF($B$3:$B$520=$V$2,ROW($B$3:$B$520)-2),ROW(B331)),2),""))</f>
        <v/>
      </c>
      <c r="AL333" s="71"/>
      <c r="AP333" s="80"/>
    </row>
    <row r="334" spans="2:42">
      <c r="B334" s="24" t="s">
        <v>197</v>
      </c>
      <c r="C334" s="24" t="s">
        <v>978</v>
      </c>
      <c r="N334" s="219" t="s">
        <v>92</v>
      </c>
      <c r="O334" s="219" t="s">
        <v>139</v>
      </c>
      <c r="P334" s="93" t="s">
        <v>1060</v>
      </c>
      <c r="R334" s="52" t="s">
        <v>131</v>
      </c>
      <c r="S334" s="53" t="s">
        <v>436</v>
      </c>
      <c r="T334" s="52" t="s">
        <v>429</v>
      </c>
      <c r="W334" s="50" t="str">
        <f t="array" ref="W334">IF($V$2=0,"",IFERROR(INDEX($B$3:$C$520,SMALL(IF($B$3:$B$520=$V$2,ROW($B$3:$B$520)-2),ROW(B332)),2),""))</f>
        <v/>
      </c>
      <c r="AL334" s="71"/>
      <c r="AP334" s="80"/>
    </row>
    <row r="335" spans="2:42">
      <c r="B335" s="24" t="s">
        <v>197</v>
      </c>
      <c r="C335" s="24" t="s">
        <v>979</v>
      </c>
      <c r="N335" s="219" t="s">
        <v>92</v>
      </c>
      <c r="O335" s="219" t="s">
        <v>140</v>
      </c>
      <c r="P335" s="93" t="s">
        <v>1060</v>
      </c>
      <c r="R335" s="52" t="s">
        <v>131</v>
      </c>
      <c r="S335" s="53" t="s">
        <v>946</v>
      </c>
      <c r="T335" s="52" t="s">
        <v>429</v>
      </c>
      <c r="W335" s="50" t="str">
        <f t="array" ref="W335">IF($V$2=0,"",IFERROR(INDEX($B$3:$C$520,SMALL(IF($B$3:$B$520=$V$2,ROW($B$3:$B$520)-2),ROW(B333)),2),""))</f>
        <v/>
      </c>
      <c r="AL335" s="71"/>
      <c r="AP335" s="80"/>
    </row>
    <row r="336" spans="2:42">
      <c r="B336" s="24" t="s">
        <v>197</v>
      </c>
      <c r="C336" s="24" t="s">
        <v>980</v>
      </c>
      <c r="N336" s="219" t="s">
        <v>92</v>
      </c>
      <c r="O336" s="219" t="s">
        <v>141</v>
      </c>
      <c r="P336" s="93" t="s">
        <v>1060</v>
      </c>
      <c r="R336" s="52" t="s">
        <v>131</v>
      </c>
      <c r="S336" s="53" t="s">
        <v>949</v>
      </c>
      <c r="T336" s="52" t="s">
        <v>429</v>
      </c>
      <c r="W336" s="50" t="str">
        <f t="array" ref="W336">IF($V$2=0,"",IFERROR(INDEX($B$3:$C$520,SMALL(IF($B$3:$B$520=$V$2,ROW($B$3:$B$520)-2),ROW(B334)),2),""))</f>
        <v/>
      </c>
      <c r="AL336" s="71"/>
      <c r="AP336" s="80"/>
    </row>
    <row r="337" spans="2:42">
      <c r="B337" s="24" t="s">
        <v>197</v>
      </c>
      <c r="C337" s="24" t="s">
        <v>981</v>
      </c>
      <c r="N337" s="219" t="s">
        <v>92</v>
      </c>
      <c r="O337" s="219" t="s">
        <v>142</v>
      </c>
      <c r="P337" s="93" t="s">
        <v>1060</v>
      </c>
      <c r="R337" s="52" t="s">
        <v>132</v>
      </c>
      <c r="S337" s="53" t="s">
        <v>893</v>
      </c>
      <c r="T337" s="52" t="s">
        <v>908</v>
      </c>
      <c r="W337" s="50" t="str">
        <f t="array" ref="W337">IF($V$2=0,"",IFERROR(INDEX($B$3:$C$520,SMALL(IF($B$3:$B$520=$V$2,ROW($B$3:$B$520)-2),ROW(B335)),2),""))</f>
        <v/>
      </c>
      <c r="AL337" s="71"/>
      <c r="AP337" s="80"/>
    </row>
    <row r="338" spans="2:42">
      <c r="B338" s="24" t="s">
        <v>197</v>
      </c>
      <c r="C338" s="24" t="s">
        <v>982</v>
      </c>
      <c r="N338" s="219" t="s">
        <v>131</v>
      </c>
      <c r="O338" s="219" t="s">
        <v>148</v>
      </c>
      <c r="P338" s="93" t="s">
        <v>6</v>
      </c>
      <c r="R338" s="52" t="s">
        <v>132</v>
      </c>
      <c r="S338" s="53" t="s">
        <v>915</v>
      </c>
      <c r="T338" s="52" t="s">
        <v>908</v>
      </c>
      <c r="W338" s="50" t="str">
        <f t="array" ref="W338">IF($V$2=0,"",IFERROR(INDEX($B$3:$C$520,SMALL(IF($B$3:$B$520=$V$2,ROW($B$3:$B$520)-2),ROW(B336)),2),""))</f>
        <v/>
      </c>
      <c r="AL338" s="71"/>
      <c r="AP338" s="80"/>
    </row>
    <row r="339" spans="2:42">
      <c r="B339" s="24" t="s">
        <v>197</v>
      </c>
      <c r="C339" s="24" t="s">
        <v>983</v>
      </c>
      <c r="N339" s="219" t="s">
        <v>131</v>
      </c>
      <c r="O339" s="219" t="s">
        <v>149</v>
      </c>
      <c r="P339" s="93" t="s">
        <v>6</v>
      </c>
      <c r="R339" s="52" t="s">
        <v>132</v>
      </c>
      <c r="S339" s="53" t="s">
        <v>916</v>
      </c>
      <c r="T339" s="52" t="s">
        <v>908</v>
      </c>
      <c r="W339" s="50" t="str">
        <f t="array" ref="W339">IF($V$2=0,"",IFERROR(INDEX($B$3:$C$520,SMALL(IF($B$3:$B$520=$V$2,ROW($B$3:$B$520)-2),ROW(B337)),2),""))</f>
        <v/>
      </c>
      <c r="AL339" s="71"/>
      <c r="AP339" s="80"/>
    </row>
    <row r="340" spans="2:42">
      <c r="B340" s="24" t="s">
        <v>197</v>
      </c>
      <c r="C340" s="24" t="s">
        <v>984</v>
      </c>
      <c r="N340" s="219" t="s">
        <v>131</v>
      </c>
      <c r="O340" s="219" t="s">
        <v>150</v>
      </c>
      <c r="P340" s="93" t="s">
        <v>6</v>
      </c>
      <c r="R340" s="52" t="s">
        <v>132</v>
      </c>
      <c r="S340" s="53" t="s">
        <v>918</v>
      </c>
      <c r="T340" s="52" t="s">
        <v>908</v>
      </c>
      <c r="W340" s="50" t="str">
        <f t="array" ref="W340">IF($V$2=0,"",IFERROR(INDEX($B$3:$C$520,SMALL(IF($B$3:$B$520=$V$2,ROW($B$3:$B$520)-2),ROW(B338)),2),""))</f>
        <v/>
      </c>
      <c r="AL340" s="71"/>
      <c r="AP340" s="80"/>
    </row>
    <row r="341" spans="2:42">
      <c r="B341" s="24" t="s">
        <v>197</v>
      </c>
      <c r="C341" s="24" t="s">
        <v>985</v>
      </c>
      <c r="N341" s="219" t="s">
        <v>131</v>
      </c>
      <c r="O341" s="219" t="s">
        <v>151</v>
      </c>
      <c r="P341" s="93" t="s">
        <v>6</v>
      </c>
      <c r="R341" s="52" t="s">
        <v>132</v>
      </c>
      <c r="S341" s="53" t="s">
        <v>919</v>
      </c>
      <c r="T341" s="52" t="s">
        <v>908</v>
      </c>
      <c r="W341" s="50" t="str">
        <f t="array" ref="W341">IF($V$2=0,"",IFERROR(INDEX($B$3:$C$520,SMALL(IF($B$3:$B$520=$V$2,ROW($B$3:$B$520)-2),ROW(B339)),2),""))</f>
        <v/>
      </c>
      <c r="AL341" s="71"/>
      <c r="AP341" s="80"/>
    </row>
    <row r="342" spans="2:42">
      <c r="B342" s="24" t="s">
        <v>197</v>
      </c>
      <c r="C342" s="24" t="s">
        <v>986</v>
      </c>
      <c r="N342" s="219" t="s">
        <v>131</v>
      </c>
      <c r="O342" s="219" t="s">
        <v>152</v>
      </c>
      <c r="P342" s="93" t="s">
        <v>6</v>
      </c>
      <c r="R342" s="52" t="s">
        <v>132</v>
      </c>
      <c r="S342" s="53" t="s">
        <v>920</v>
      </c>
      <c r="T342" s="52" t="s">
        <v>908</v>
      </c>
      <c r="W342" s="50" t="str">
        <f t="array" ref="W342">IF($V$2=0,"",IFERROR(INDEX($B$3:$C$520,SMALL(IF($B$3:$B$520=$V$2,ROW($B$3:$B$520)-2),ROW(B340)),2),""))</f>
        <v/>
      </c>
      <c r="AL342" s="71"/>
      <c r="AP342" s="80"/>
    </row>
    <row r="343" spans="2:42">
      <c r="B343" s="24" t="s">
        <v>197</v>
      </c>
      <c r="C343" s="24" t="s">
        <v>987</v>
      </c>
      <c r="N343" s="219" t="s">
        <v>60</v>
      </c>
      <c r="O343" s="219" t="s">
        <v>72</v>
      </c>
      <c r="P343" s="93" t="s">
        <v>1060</v>
      </c>
      <c r="R343" s="52" t="s">
        <v>132</v>
      </c>
      <c r="S343" s="53" t="s">
        <v>921</v>
      </c>
      <c r="T343" s="52" t="s">
        <v>908</v>
      </c>
      <c r="W343" s="50" t="str">
        <f t="array" ref="W343">IF($V$2=0,"",IFERROR(INDEX($B$3:$C$520,SMALL(IF($B$3:$B$520=$V$2,ROW($B$3:$B$520)-2),ROW(B341)),2),""))</f>
        <v/>
      </c>
      <c r="AL343" s="71"/>
      <c r="AP343" s="80"/>
    </row>
    <row r="344" spans="2:42">
      <c r="B344" s="24" t="s">
        <v>197</v>
      </c>
      <c r="C344" s="24" t="s">
        <v>988</v>
      </c>
      <c r="N344" s="219" t="s">
        <v>60</v>
      </c>
      <c r="O344" s="219" t="s">
        <v>73</v>
      </c>
      <c r="P344" s="93" t="s">
        <v>1060</v>
      </c>
      <c r="R344" s="52" t="s">
        <v>132</v>
      </c>
      <c r="S344" s="53" t="s">
        <v>893</v>
      </c>
      <c r="T344" s="52" t="s">
        <v>909</v>
      </c>
      <c r="W344" s="50" t="str">
        <f t="array" ref="W344">IF($V$2=0,"",IFERROR(INDEX($B$3:$C$520,SMALL(IF($B$3:$B$520=$V$2,ROW($B$3:$B$520)-2),ROW(B342)),2),""))</f>
        <v/>
      </c>
      <c r="AL344" s="71"/>
      <c r="AP344" s="80"/>
    </row>
    <row r="345" spans="2:42">
      <c r="B345" s="24" t="s">
        <v>197</v>
      </c>
      <c r="C345" s="24" t="s">
        <v>989</v>
      </c>
      <c r="N345" s="219" t="s">
        <v>60</v>
      </c>
      <c r="O345" s="219" t="s">
        <v>74</v>
      </c>
      <c r="P345" s="93" t="s">
        <v>1060</v>
      </c>
      <c r="R345" s="52" t="s">
        <v>132</v>
      </c>
      <c r="S345" s="53" t="s">
        <v>965</v>
      </c>
      <c r="T345" s="52" t="s">
        <v>909</v>
      </c>
      <c r="W345" s="50" t="str">
        <f t="array" ref="W345">IF($V$2=0,"",IFERROR(INDEX($B$3:$C$520,SMALL(IF($B$3:$B$520=$V$2,ROW($B$3:$B$520)-2),ROW(B343)),2),""))</f>
        <v/>
      </c>
      <c r="AL345" s="71"/>
      <c r="AP345" s="80"/>
    </row>
    <row r="346" spans="2:42">
      <c r="B346" s="24" t="s">
        <v>197</v>
      </c>
      <c r="C346" s="24" t="s">
        <v>990</v>
      </c>
      <c r="N346" s="219" t="s">
        <v>60</v>
      </c>
      <c r="O346" s="219" t="s">
        <v>75</v>
      </c>
      <c r="P346" s="93" t="s">
        <v>1060</v>
      </c>
      <c r="R346" s="52" t="s">
        <v>132</v>
      </c>
      <c r="S346" s="53" t="s">
        <v>932</v>
      </c>
      <c r="T346" s="52" t="s">
        <v>966</v>
      </c>
      <c r="W346" s="50" t="str">
        <f t="array" ref="W346">IF($V$2=0,"",IFERROR(INDEX($B$3:$C$520,SMALL(IF($B$3:$B$520=$V$2,ROW($B$3:$B$520)-2),ROW(B344)),2),""))</f>
        <v/>
      </c>
      <c r="AL346" s="71"/>
      <c r="AP346" s="80"/>
    </row>
    <row r="347" spans="2:42">
      <c r="B347" s="24" t="s">
        <v>197</v>
      </c>
      <c r="C347" s="24" t="s">
        <v>991</v>
      </c>
      <c r="N347" s="219" t="s">
        <v>60</v>
      </c>
      <c r="O347" s="219" t="s">
        <v>76</v>
      </c>
      <c r="P347" s="93" t="s">
        <v>1060</v>
      </c>
      <c r="R347" s="52" t="s">
        <v>132</v>
      </c>
      <c r="S347" s="53" t="s">
        <v>927</v>
      </c>
      <c r="T347" s="52" t="s">
        <v>966</v>
      </c>
      <c r="W347" s="50" t="str">
        <f t="array" ref="W347">IF($V$2=0,"",IFERROR(INDEX($B$3:$C$520,SMALL(IF($B$3:$B$520=$V$2,ROW($B$3:$B$520)-2),ROW(B345)),2),""))</f>
        <v/>
      </c>
      <c r="AL347" s="71"/>
      <c r="AP347" s="80"/>
    </row>
    <row r="348" spans="2:42">
      <c r="B348" s="24" t="s">
        <v>273</v>
      </c>
      <c r="C348" s="24" t="s">
        <v>274</v>
      </c>
      <c r="N348" s="219" t="s">
        <v>60</v>
      </c>
      <c r="O348" s="219" t="s">
        <v>77</v>
      </c>
      <c r="P348" s="93" t="s">
        <v>1060</v>
      </c>
      <c r="R348" s="52" t="s">
        <v>132</v>
      </c>
      <c r="S348" s="53" t="s">
        <v>936</v>
      </c>
      <c r="T348" s="52" t="s">
        <v>966</v>
      </c>
      <c r="W348" s="50" t="str">
        <f t="array" ref="W348">IF($V$2=0,"",IFERROR(INDEX($B$3:$C$520,SMALL(IF($B$3:$B$520=$V$2,ROW($B$3:$B$520)-2),ROW(B346)),2),""))</f>
        <v/>
      </c>
      <c r="AL348" s="71"/>
      <c r="AP348" s="80"/>
    </row>
    <row r="349" spans="2:42">
      <c r="B349" s="24" t="s">
        <v>273</v>
      </c>
      <c r="C349" s="24" t="s">
        <v>275</v>
      </c>
      <c r="N349" s="219" t="s">
        <v>60</v>
      </c>
      <c r="O349" s="219" t="s">
        <v>78</v>
      </c>
      <c r="P349" s="93" t="s">
        <v>1060</v>
      </c>
      <c r="R349" s="52" t="s">
        <v>132</v>
      </c>
      <c r="S349" s="53" t="s">
        <v>928</v>
      </c>
      <c r="T349" s="52" t="s">
        <v>966</v>
      </c>
      <c r="W349" s="50" t="str">
        <f t="array" ref="W349">IF($V$2=0,"",IFERROR(INDEX($B$3:$C$520,SMALL(IF($B$3:$B$520=$V$2,ROW($B$3:$B$520)-2),ROW(B347)),2),""))</f>
        <v/>
      </c>
      <c r="AL349" s="71"/>
      <c r="AP349" s="80"/>
    </row>
    <row r="350" spans="2:42">
      <c r="B350" s="24" t="s">
        <v>273</v>
      </c>
      <c r="C350" s="24" t="s">
        <v>276</v>
      </c>
      <c r="N350" s="219" t="s">
        <v>60</v>
      </c>
      <c r="O350" s="219" t="s">
        <v>79</v>
      </c>
      <c r="P350" s="93" t="s">
        <v>1060</v>
      </c>
      <c r="R350" s="52" t="s">
        <v>132</v>
      </c>
      <c r="S350" s="53" t="s">
        <v>926</v>
      </c>
      <c r="T350" s="52" t="s">
        <v>966</v>
      </c>
      <c r="W350" s="50" t="str">
        <f t="array" ref="W350">IF($V$2=0,"",IFERROR(INDEX($B$3:$C$520,SMALL(IF($B$3:$B$520=$V$2,ROW($B$3:$B$520)-2),ROW(B348)),2),""))</f>
        <v/>
      </c>
      <c r="AL350" s="71"/>
      <c r="AP350" s="80"/>
    </row>
    <row r="351" spans="2:42">
      <c r="B351" s="24" t="s">
        <v>273</v>
      </c>
      <c r="C351" s="24" t="s">
        <v>277</v>
      </c>
      <c r="N351" s="219" t="s">
        <v>60</v>
      </c>
      <c r="O351" s="219" t="s">
        <v>80</v>
      </c>
      <c r="P351" s="93" t="s">
        <v>1060</v>
      </c>
      <c r="R351" s="52" t="s">
        <v>132</v>
      </c>
      <c r="S351" s="53" t="s">
        <v>937</v>
      </c>
      <c r="T351" s="52" t="s">
        <v>966</v>
      </c>
      <c r="W351" s="50" t="str">
        <f t="array" ref="W351">IF($V$2=0,"",IFERROR(INDEX($B$3:$C$520,SMALL(IF($B$3:$B$520=$V$2,ROW($B$3:$B$520)-2),ROW(B349)),2),""))</f>
        <v/>
      </c>
      <c r="AL351" s="71"/>
      <c r="AP351" s="80"/>
    </row>
    <row r="352" spans="2:42">
      <c r="B352" s="24" t="s">
        <v>273</v>
      </c>
      <c r="C352" s="24" t="s">
        <v>278</v>
      </c>
      <c r="N352" s="219" t="s">
        <v>60</v>
      </c>
      <c r="O352" s="219" t="s">
        <v>81</v>
      </c>
      <c r="P352" s="93" t="s">
        <v>1060</v>
      </c>
      <c r="R352" s="52" t="s">
        <v>132</v>
      </c>
      <c r="S352" s="53" t="s">
        <v>939</v>
      </c>
      <c r="T352" s="52" t="s">
        <v>911</v>
      </c>
      <c r="W352" s="50" t="str">
        <f t="array" ref="W352">IF($V$2=0,"",IFERROR(INDEX($B$3:$C$520,SMALL(IF($B$3:$B$520=$V$2,ROW($B$3:$B$520)-2),ROW(B350)),2),""))</f>
        <v/>
      </c>
      <c r="AL352" s="71"/>
      <c r="AP352" s="80"/>
    </row>
    <row r="353" spans="2:42">
      <c r="B353" s="24" t="s">
        <v>273</v>
      </c>
      <c r="C353" s="24" t="s">
        <v>279</v>
      </c>
      <c r="N353" s="219" t="s">
        <v>60</v>
      </c>
      <c r="O353" s="219" t="s">
        <v>82</v>
      </c>
      <c r="P353" s="93" t="s">
        <v>1060</v>
      </c>
      <c r="R353" s="52" t="s">
        <v>132</v>
      </c>
      <c r="S353" s="53" t="s">
        <v>961</v>
      </c>
      <c r="T353" s="52" t="s">
        <v>911</v>
      </c>
      <c r="W353" s="50" t="str">
        <f t="array" ref="W353">IF($V$2=0,"",IFERROR(INDEX($B$3:$C$520,SMALL(IF($B$3:$B$520=$V$2,ROW($B$3:$B$520)-2),ROW(B351)),2),""))</f>
        <v/>
      </c>
      <c r="AL353" s="71"/>
      <c r="AP353" s="80"/>
    </row>
    <row r="354" spans="2:42">
      <c r="B354" s="24" t="s">
        <v>273</v>
      </c>
      <c r="C354" s="24" t="s">
        <v>280</v>
      </c>
      <c r="N354" s="219" t="s">
        <v>60</v>
      </c>
      <c r="O354" s="219" t="s">
        <v>83</v>
      </c>
      <c r="P354" s="93" t="s">
        <v>1060</v>
      </c>
      <c r="R354" s="52" t="s">
        <v>132</v>
      </c>
      <c r="S354" s="53" t="s">
        <v>962</v>
      </c>
      <c r="T354" s="52" t="s">
        <v>911</v>
      </c>
      <c r="W354" s="50" t="str">
        <f t="array" ref="W354">IF($V$2=0,"",IFERROR(INDEX($B$3:$C$520,SMALL(IF($B$3:$B$520=$V$2,ROW($B$3:$B$520)-2),ROW(B352)),2),""))</f>
        <v/>
      </c>
      <c r="AL354" s="71"/>
      <c r="AP354" s="80"/>
    </row>
    <row r="355" spans="2:42">
      <c r="B355" s="24" t="s">
        <v>273</v>
      </c>
      <c r="C355" s="24" t="s">
        <v>281</v>
      </c>
      <c r="N355" s="219" t="s">
        <v>60</v>
      </c>
      <c r="O355" s="219" t="s">
        <v>84</v>
      </c>
      <c r="P355" s="93" t="s">
        <v>1060</v>
      </c>
      <c r="R355" s="52" t="s">
        <v>132</v>
      </c>
      <c r="S355" s="53" t="s">
        <v>940</v>
      </c>
      <c r="T355" s="52" t="s">
        <v>911</v>
      </c>
      <c r="W355" s="50" t="str">
        <f t="array" ref="W355">IF($V$2=0,"",IFERROR(INDEX($B$3:$C$520,SMALL(IF($B$3:$B$520=$V$2,ROW($B$3:$B$520)-2),ROW(B353)),2),""))</f>
        <v/>
      </c>
      <c r="AL355" s="71"/>
      <c r="AP355" s="80"/>
    </row>
    <row r="356" spans="2:42">
      <c r="B356" s="24" t="s">
        <v>273</v>
      </c>
      <c r="C356" s="24" t="s">
        <v>1053</v>
      </c>
      <c r="N356" s="219" t="s">
        <v>60</v>
      </c>
      <c r="O356" s="219" t="s">
        <v>85</v>
      </c>
      <c r="P356" s="93" t="s">
        <v>1060</v>
      </c>
      <c r="R356" s="52" t="s">
        <v>132</v>
      </c>
      <c r="S356" s="53" t="s">
        <v>948</v>
      </c>
      <c r="T356" s="52" t="s">
        <v>911</v>
      </c>
      <c r="W356" s="50" t="str">
        <f t="array" ref="W356">IF($V$2=0,"",IFERROR(INDEX($B$3:$C$520,SMALL(IF($B$3:$B$520=$V$2,ROW($B$3:$B$520)-2),ROW(B354)),2),""))</f>
        <v/>
      </c>
      <c r="AL356" s="71"/>
      <c r="AP356" s="80"/>
    </row>
    <row r="357" spans="2:42">
      <c r="B357" s="24" t="s">
        <v>273</v>
      </c>
      <c r="C357" s="24" t="s">
        <v>282</v>
      </c>
      <c r="N357" s="219" t="s">
        <v>60</v>
      </c>
      <c r="O357" s="219" t="s">
        <v>86</v>
      </c>
      <c r="P357" s="93" t="s">
        <v>1060</v>
      </c>
      <c r="R357" s="52" t="s">
        <v>132</v>
      </c>
      <c r="S357" s="53" t="s">
        <v>941</v>
      </c>
      <c r="T357" s="52" t="s">
        <v>911</v>
      </c>
      <c r="W357" s="50" t="str">
        <f t="array" ref="W357">IF($V$2=0,"",IFERROR(INDEX($B$3:$C$520,SMALL(IF($B$3:$B$520=$V$2,ROW($B$3:$B$520)-2),ROW(B355)),2),""))</f>
        <v/>
      </c>
      <c r="AL357" s="71"/>
      <c r="AP357" s="80"/>
    </row>
    <row r="358" spans="2:42">
      <c r="B358" s="24" t="s">
        <v>273</v>
      </c>
      <c r="C358" s="24" t="s">
        <v>283</v>
      </c>
      <c r="N358" s="219" t="s">
        <v>60</v>
      </c>
      <c r="O358" s="219" t="s">
        <v>87</v>
      </c>
      <c r="P358" s="93" t="s">
        <v>1060</v>
      </c>
      <c r="R358" s="52" t="s">
        <v>132</v>
      </c>
      <c r="S358" s="53" t="s">
        <v>905</v>
      </c>
      <c r="T358" s="52" t="s">
        <v>912</v>
      </c>
      <c r="W358" s="50" t="str">
        <f t="array" ref="W358">IF($V$2=0,"",IFERROR(INDEX($B$3:$C$520,SMALL(IF($B$3:$B$520=$V$2,ROW($B$3:$B$520)-2),ROW(B356)),2),""))</f>
        <v/>
      </c>
      <c r="AL358" s="71"/>
      <c r="AP358" s="80"/>
    </row>
    <row r="359" spans="2:42">
      <c r="B359" s="24" t="s">
        <v>273</v>
      </c>
      <c r="C359" s="24" t="s">
        <v>284</v>
      </c>
      <c r="N359" s="219" t="s">
        <v>60</v>
      </c>
      <c r="O359" s="219" t="s">
        <v>88</v>
      </c>
      <c r="P359" s="93" t="s">
        <v>1060</v>
      </c>
      <c r="R359" s="52" t="s">
        <v>132</v>
      </c>
      <c r="S359" s="53" t="s">
        <v>200</v>
      </c>
      <c r="T359" s="52" t="s">
        <v>912</v>
      </c>
      <c r="W359" s="50" t="str">
        <f t="array" ref="W359">IF($V$2=0,"",IFERROR(INDEX($B$3:$C$520,SMALL(IF($B$3:$B$520=$V$2,ROW($B$3:$B$520)-2),ROW(B357)),2),""))</f>
        <v/>
      </c>
      <c r="AL359" s="71"/>
      <c r="AP359" s="80"/>
    </row>
    <row r="360" spans="2:42">
      <c r="B360" s="24" t="s">
        <v>273</v>
      </c>
      <c r="C360" s="24" t="s">
        <v>285</v>
      </c>
      <c r="N360" s="219" t="s">
        <v>60</v>
      </c>
      <c r="O360" s="219" t="s">
        <v>89</v>
      </c>
      <c r="P360" s="93" t="s">
        <v>1060</v>
      </c>
      <c r="R360" s="52" t="s">
        <v>132</v>
      </c>
      <c r="S360" s="53" t="s">
        <v>906</v>
      </c>
      <c r="T360" s="52" t="s">
        <v>912</v>
      </c>
      <c r="W360" s="50" t="str">
        <f t="array" ref="W360">IF($V$2=0,"",IFERROR(INDEX($B$3:$C$520,SMALL(IF($B$3:$B$520=$V$2,ROW($B$3:$B$520)-2),ROW(B358)),2),""))</f>
        <v/>
      </c>
      <c r="AL360" s="71"/>
      <c r="AP360" s="80"/>
    </row>
    <row r="361" spans="2:42">
      <c r="B361" s="24" t="s">
        <v>273</v>
      </c>
      <c r="C361" s="24" t="s">
        <v>286</v>
      </c>
      <c r="N361" s="219" t="s">
        <v>60</v>
      </c>
      <c r="O361" s="219" t="s">
        <v>90</v>
      </c>
      <c r="P361" s="93" t="s">
        <v>1060</v>
      </c>
      <c r="R361" s="52" t="s">
        <v>132</v>
      </c>
      <c r="S361" s="53" t="s">
        <v>943</v>
      </c>
      <c r="T361" s="52" t="s">
        <v>912</v>
      </c>
      <c r="W361" s="50" t="str">
        <f t="array" ref="W361">IF($V$2=0,"",IFERROR(INDEX($B$3:$C$520,SMALL(IF($B$3:$B$520=$V$2,ROW($B$3:$B$520)-2),ROW(B359)),2),""))</f>
        <v/>
      </c>
      <c r="AL361" s="71"/>
      <c r="AP361" s="80"/>
    </row>
    <row r="362" spans="2:42">
      <c r="B362" s="24" t="s">
        <v>273</v>
      </c>
      <c r="C362" s="24" t="s">
        <v>287</v>
      </c>
      <c r="N362" s="219" t="s">
        <v>60</v>
      </c>
      <c r="O362" s="219" t="s">
        <v>91</v>
      </c>
      <c r="P362" s="93" t="s">
        <v>1060</v>
      </c>
      <c r="R362" s="52" t="s">
        <v>132</v>
      </c>
      <c r="S362" s="53" t="s">
        <v>901</v>
      </c>
      <c r="T362" s="52" t="s">
        <v>429</v>
      </c>
      <c r="W362" s="50" t="str">
        <f t="array" ref="W362">IF($V$2=0,"",IFERROR(INDEX($B$3:$C$520,SMALL(IF($B$3:$B$520=$V$2,ROW($B$3:$B$520)-2),ROW(B360)),2),""))</f>
        <v/>
      </c>
      <c r="AL362" s="71"/>
      <c r="AP362" s="80"/>
    </row>
    <row r="363" spans="2:42">
      <c r="B363" s="24" t="s">
        <v>273</v>
      </c>
      <c r="C363" s="24" t="s">
        <v>288</v>
      </c>
      <c r="N363" s="219" t="s">
        <v>60</v>
      </c>
      <c r="O363" s="219" t="s">
        <v>155</v>
      </c>
      <c r="P363" s="93" t="s">
        <v>6</v>
      </c>
      <c r="R363" s="52" t="s">
        <v>132</v>
      </c>
      <c r="S363" s="53" t="s">
        <v>907</v>
      </c>
      <c r="T363" s="52" t="s">
        <v>429</v>
      </c>
      <c r="W363" s="50" t="str">
        <f t="array" ref="W363">IF($V$2=0,"",IFERROR(INDEX($B$3:$C$520,SMALL(IF($B$3:$B$520=$V$2,ROW($B$3:$B$520)-2),ROW(B361)),2),""))</f>
        <v/>
      </c>
      <c r="AL363" s="71"/>
      <c r="AP363" s="80"/>
    </row>
    <row r="364" spans="2:42">
      <c r="B364" s="24" t="s">
        <v>273</v>
      </c>
      <c r="C364" s="24" t="s">
        <v>289</v>
      </c>
      <c r="N364" s="219" t="s">
        <v>60</v>
      </c>
      <c r="O364" s="219" t="s">
        <v>156</v>
      </c>
      <c r="P364" s="93" t="s">
        <v>6</v>
      </c>
      <c r="R364" s="52" t="s">
        <v>132</v>
      </c>
      <c r="S364" s="53" t="s">
        <v>945</v>
      </c>
      <c r="T364" s="52" t="s">
        <v>429</v>
      </c>
      <c r="W364" s="50" t="str">
        <f t="array" ref="W364">IF($V$2=0,"",IFERROR(INDEX($B$3:$C$520,SMALL(IF($B$3:$B$520=$V$2,ROW($B$3:$B$520)-2),ROW(B362)),2),""))</f>
        <v/>
      </c>
      <c r="AL364" s="71"/>
      <c r="AP364" s="80"/>
    </row>
    <row r="365" spans="2:42">
      <c r="B365" s="24" t="s">
        <v>273</v>
      </c>
      <c r="C365" s="24" t="s">
        <v>290</v>
      </c>
      <c r="N365" s="219" t="s">
        <v>60</v>
      </c>
      <c r="O365" s="219" t="s">
        <v>157</v>
      </c>
      <c r="P365" s="93" t="s">
        <v>6</v>
      </c>
      <c r="R365" s="52" t="s">
        <v>132</v>
      </c>
      <c r="S365" s="53" t="s">
        <v>436</v>
      </c>
      <c r="T365" s="52" t="s">
        <v>429</v>
      </c>
      <c r="W365" s="50" t="str">
        <f t="array" ref="W365">IF($V$2=0,"",IFERROR(INDEX($B$3:$C$520,SMALL(IF($B$3:$B$520=$V$2,ROW($B$3:$B$520)-2),ROW(B363)),2),""))</f>
        <v/>
      </c>
      <c r="AL365" s="71"/>
      <c r="AP365" s="80"/>
    </row>
    <row r="366" spans="2:42">
      <c r="B366" s="24" t="s">
        <v>273</v>
      </c>
      <c r="C366" s="24" t="s">
        <v>291</v>
      </c>
      <c r="N366" s="219" t="s">
        <v>60</v>
      </c>
      <c r="O366" s="219" t="s">
        <v>158</v>
      </c>
      <c r="P366" s="93" t="s">
        <v>6</v>
      </c>
      <c r="R366" s="52" t="s">
        <v>132</v>
      </c>
      <c r="S366" s="53" t="s">
        <v>946</v>
      </c>
      <c r="T366" s="52" t="s">
        <v>429</v>
      </c>
      <c r="W366" s="50" t="str">
        <f t="array" ref="W366">IF($V$2=0,"",IFERROR(INDEX($B$3:$C$520,SMALL(IF($B$3:$B$520=$V$2,ROW($B$3:$B$520)-2),ROW(B364)),2),""))</f>
        <v/>
      </c>
      <c r="AL366" s="71"/>
      <c r="AP366" s="80"/>
    </row>
    <row r="367" spans="2:42">
      <c r="B367" s="24" t="s">
        <v>273</v>
      </c>
      <c r="C367" s="24" t="s">
        <v>292</v>
      </c>
      <c r="N367" s="219" t="s">
        <v>60</v>
      </c>
      <c r="O367" s="219" t="s">
        <v>159</v>
      </c>
      <c r="P367" s="93" t="s">
        <v>6</v>
      </c>
      <c r="R367" s="81"/>
      <c r="S367" s="82"/>
      <c r="T367" s="81"/>
      <c r="W367" s="50" t="str">
        <f t="array" ref="W367">IF($V$2=0,"",IFERROR(INDEX($B$3:$C$520,SMALL(IF($B$3:$B$520=$V$2,ROW($B$3:$B$520)-2),ROW(B365)),2),""))</f>
        <v/>
      </c>
      <c r="AL367" s="71"/>
      <c r="AP367" s="80"/>
    </row>
    <row r="368" spans="2:42">
      <c r="B368" s="24" t="s">
        <v>273</v>
      </c>
      <c r="C368" s="24" t="s">
        <v>293</v>
      </c>
      <c r="N368" s="219" t="s">
        <v>60</v>
      </c>
      <c r="O368" s="219" t="s">
        <v>160</v>
      </c>
      <c r="P368" s="93" t="s">
        <v>6</v>
      </c>
      <c r="R368" s="81"/>
      <c r="S368" s="82"/>
      <c r="T368" s="81"/>
      <c r="W368" s="50" t="str">
        <f t="array" ref="W368">IF($V$2=0,"",IFERROR(INDEX($B$3:$C$520,SMALL(IF($B$3:$B$520=$V$2,ROW($B$3:$B$520)-2),ROW(B366)),2),""))</f>
        <v/>
      </c>
      <c r="AL368" s="71"/>
      <c r="AP368" s="80"/>
    </row>
    <row r="369" spans="2:42">
      <c r="B369" s="24" t="s">
        <v>273</v>
      </c>
      <c r="C369" s="24" t="s">
        <v>294</v>
      </c>
      <c r="N369" s="219" t="s">
        <v>273</v>
      </c>
      <c r="O369" s="219" t="s">
        <v>322</v>
      </c>
      <c r="P369" s="93" t="s">
        <v>1060</v>
      </c>
      <c r="R369" s="81"/>
      <c r="S369" s="82"/>
      <c r="T369" s="81"/>
      <c r="W369" s="50" t="str">
        <f t="array" ref="W369">IF($V$2=0,"",IFERROR(INDEX($B$3:$C$520,SMALL(IF($B$3:$B$520=$V$2,ROW($B$3:$B$520)-2),ROW(B367)),2),""))</f>
        <v/>
      </c>
      <c r="AL369" s="71"/>
      <c r="AP369" s="80"/>
    </row>
    <row r="370" spans="2:42">
      <c r="B370" s="24" t="s">
        <v>273</v>
      </c>
      <c r="C370" s="24" t="s">
        <v>295</v>
      </c>
      <c r="N370" s="219" t="s">
        <v>273</v>
      </c>
      <c r="O370" s="219" t="s">
        <v>324</v>
      </c>
      <c r="P370" s="93" t="s">
        <v>1060</v>
      </c>
      <c r="R370" s="81"/>
      <c r="S370" s="82"/>
      <c r="T370" s="81"/>
      <c r="W370" s="50" t="str">
        <f t="array" ref="W370">IF($V$2=0,"",IFERROR(INDEX($B$3:$C$520,SMALL(IF($B$3:$B$520=$V$2,ROW($B$3:$B$520)-2),ROW(B368)),2),""))</f>
        <v/>
      </c>
      <c r="AL370" s="71"/>
      <c r="AP370" s="80"/>
    </row>
    <row r="371" spans="2:42">
      <c r="B371" s="24" t="s">
        <v>273</v>
      </c>
      <c r="C371" s="24" t="s">
        <v>296</v>
      </c>
      <c r="N371" s="219" t="s">
        <v>273</v>
      </c>
      <c r="O371" s="219" t="s">
        <v>326</v>
      </c>
      <c r="P371" s="93" t="s">
        <v>1060</v>
      </c>
      <c r="R371" s="81"/>
      <c r="S371" s="82"/>
      <c r="T371" s="81"/>
      <c r="W371" s="50" t="str">
        <f t="array" ref="W371">IF($V$2=0,"",IFERROR(INDEX($B$3:$C$520,SMALL(IF($B$3:$B$520=$V$2,ROW($B$3:$B$520)-2),ROW(B369)),2),""))</f>
        <v/>
      </c>
      <c r="AL371" s="71"/>
      <c r="AP371" s="80"/>
    </row>
    <row r="372" spans="2:42">
      <c r="B372" s="24" t="s">
        <v>273</v>
      </c>
      <c r="C372" s="24" t="s">
        <v>297</v>
      </c>
      <c r="N372" s="219" t="s">
        <v>273</v>
      </c>
      <c r="O372" s="219" t="s">
        <v>327</v>
      </c>
      <c r="P372" s="93" t="s">
        <v>1060</v>
      </c>
      <c r="R372" s="81"/>
      <c r="S372" s="82"/>
      <c r="T372" s="81"/>
      <c r="W372" s="50" t="str">
        <f t="array" ref="W372">IF($V$2=0,"",IFERROR(INDEX($B$3:$C$520,SMALL(IF($B$3:$B$520=$V$2,ROW($B$3:$B$520)-2),ROW(B370)),2),""))</f>
        <v/>
      </c>
      <c r="AL372" s="71"/>
      <c r="AP372" s="80"/>
    </row>
    <row r="373" spans="2:42">
      <c r="B373" s="24" t="s">
        <v>273</v>
      </c>
      <c r="C373" s="24" t="s">
        <v>298</v>
      </c>
      <c r="N373" s="219" t="s">
        <v>273</v>
      </c>
      <c r="O373" s="219" t="s">
        <v>328</v>
      </c>
      <c r="P373" s="93" t="s">
        <v>1060</v>
      </c>
      <c r="R373" s="81"/>
      <c r="S373" s="82"/>
      <c r="T373" s="81"/>
      <c r="W373" s="50" t="str">
        <f t="array" ref="W373">IF($V$2=0,"",IFERROR(INDEX($B$3:$C$520,SMALL(IF($B$3:$B$520=$V$2,ROW($B$3:$B$520)-2),ROW(#REF!)),2),""))</f>
        <v/>
      </c>
      <c r="AL373" s="71"/>
      <c r="AP373" s="80"/>
    </row>
    <row r="374" spans="2:42">
      <c r="B374" s="24" t="s">
        <v>273</v>
      </c>
      <c r="C374" s="24" t="s">
        <v>299</v>
      </c>
      <c r="N374" s="219" t="s">
        <v>273</v>
      </c>
      <c r="O374" s="219" t="s">
        <v>329</v>
      </c>
      <c r="P374" s="93" t="s">
        <v>1060</v>
      </c>
      <c r="R374" s="81"/>
      <c r="S374" s="82"/>
      <c r="T374" s="81"/>
      <c r="W374" s="50" t="str">
        <f t="array" ref="W374">IF($V$2=0,"",IFERROR(INDEX($B$3:$C$520,SMALL(IF($B$3:$B$520=$V$2,ROW($B$3:$B$520)-2),ROW(#REF!)),2),""))</f>
        <v/>
      </c>
      <c r="AL374" s="71"/>
      <c r="AP374" s="80"/>
    </row>
    <row r="375" spans="2:42">
      <c r="B375" s="24" t="s">
        <v>273</v>
      </c>
      <c r="C375" s="24" t="s">
        <v>300</v>
      </c>
      <c r="N375" s="219" t="s">
        <v>273</v>
      </c>
      <c r="O375" s="219" t="s">
        <v>331</v>
      </c>
      <c r="P375" s="93" t="s">
        <v>1060</v>
      </c>
      <c r="R375" s="81"/>
      <c r="S375" s="82"/>
      <c r="T375" s="81"/>
      <c r="W375" s="50" t="str">
        <f t="array" ref="W375">IF($V$2=0,"",IFERROR(INDEX($B$3:$C$520,SMALL(IF($B$3:$B$520=$V$2,ROW($B$3:$B$520)-2),ROW(B371)),2),""))</f>
        <v/>
      </c>
      <c r="AL375" s="71"/>
      <c r="AP375" s="80"/>
    </row>
    <row r="376" spans="2:42">
      <c r="B376" s="24" t="s">
        <v>273</v>
      </c>
      <c r="C376" s="24" t="s">
        <v>301</v>
      </c>
      <c r="N376" s="219" t="s">
        <v>273</v>
      </c>
      <c r="O376" s="219" t="s">
        <v>332</v>
      </c>
      <c r="P376" s="93" t="s">
        <v>1060</v>
      </c>
      <c r="R376" s="81"/>
      <c r="S376" s="82"/>
      <c r="T376" s="81"/>
      <c r="W376" s="50" t="str">
        <f t="array" ref="W376">IF($V$2=0,"",IFERROR(INDEX($B$3:$C$520,SMALL(IF($B$3:$B$520=$V$2,ROW($B$3:$B$520)-2),ROW(B372)),2),""))</f>
        <v/>
      </c>
      <c r="AL376" s="71"/>
      <c r="AP376" s="80"/>
    </row>
    <row r="377" spans="2:42">
      <c r="B377" s="24" t="s">
        <v>273</v>
      </c>
      <c r="C377" s="24" t="s">
        <v>302</v>
      </c>
      <c r="N377" s="219" t="s">
        <v>273</v>
      </c>
      <c r="O377" s="219" t="s">
        <v>333</v>
      </c>
      <c r="P377" s="93" t="s">
        <v>1060</v>
      </c>
      <c r="R377" s="81"/>
      <c r="S377" s="82"/>
      <c r="T377" s="81"/>
      <c r="W377" s="50" t="str">
        <f t="array" ref="W377">IF($V$2=0,"",IFERROR(INDEX($B$3:$C$520,SMALL(IF($B$3:$B$520=$V$2,ROW($B$3:$B$520)-2),ROW(B373)),2),""))</f>
        <v/>
      </c>
      <c r="AL377" s="71"/>
      <c r="AP377" s="80"/>
    </row>
    <row r="378" spans="2:42">
      <c r="B378" s="24" t="s">
        <v>273</v>
      </c>
      <c r="C378" s="24" t="s">
        <v>303</v>
      </c>
      <c r="N378" s="219" t="s">
        <v>273</v>
      </c>
      <c r="O378" s="219" t="s">
        <v>334</v>
      </c>
      <c r="P378" s="93" t="s">
        <v>1060</v>
      </c>
      <c r="R378" s="81"/>
      <c r="S378" s="82"/>
      <c r="T378" s="81"/>
      <c r="W378" s="50" t="str">
        <f t="array" ref="W378">IF($V$2=0,"",IFERROR(INDEX($B$3:$C$520,SMALL(IF($B$3:$B$520=$V$2,ROW($B$3:$B$520)-2),ROW(B374)),2),""))</f>
        <v/>
      </c>
      <c r="AL378" s="71"/>
      <c r="AP378" s="80"/>
    </row>
    <row r="379" spans="2:42">
      <c r="B379" s="24" t="s">
        <v>273</v>
      </c>
      <c r="C379" s="24" t="s">
        <v>304</v>
      </c>
      <c r="N379" s="219" t="s">
        <v>273</v>
      </c>
      <c r="O379" s="219" t="s">
        <v>335</v>
      </c>
      <c r="P379" s="93" t="s">
        <v>1060</v>
      </c>
      <c r="R379" s="81"/>
      <c r="S379" s="82"/>
      <c r="T379" s="81"/>
      <c r="W379" s="50" t="str">
        <f t="array" ref="W379">IF($V$2=0,"",IFERROR(INDEX($B$3:$C$520,SMALL(IF($B$3:$B$520=$V$2,ROW($B$3:$B$520)-2),ROW(B375)),2),""))</f>
        <v/>
      </c>
      <c r="AL379" s="71"/>
      <c r="AP379" s="80"/>
    </row>
    <row r="380" spans="2:42">
      <c r="B380" s="24" t="s">
        <v>273</v>
      </c>
      <c r="C380" s="24" t="s">
        <v>305</v>
      </c>
      <c r="N380" s="219" t="s">
        <v>273</v>
      </c>
      <c r="O380" s="219" t="s">
        <v>336</v>
      </c>
      <c r="P380" s="93" t="s">
        <v>1060</v>
      </c>
      <c r="R380" s="81"/>
      <c r="S380" s="82"/>
      <c r="T380" s="81"/>
      <c r="W380" s="50" t="str">
        <f t="array" ref="W380">IF($V$2=0,"",IFERROR(INDEX($B$3:$C$520,SMALL(IF($B$3:$B$520=$V$2,ROW($B$3:$B$520)-2),ROW(B376)),2),""))</f>
        <v/>
      </c>
      <c r="AL380" s="71"/>
      <c r="AP380" s="80"/>
    </row>
    <row r="381" spans="2:42">
      <c r="B381" s="24" t="s">
        <v>273</v>
      </c>
      <c r="C381" s="24" t="s">
        <v>306</v>
      </c>
      <c r="N381" s="219" t="s">
        <v>273</v>
      </c>
      <c r="O381" s="219" t="s">
        <v>337</v>
      </c>
      <c r="P381" s="93" t="s">
        <v>1060</v>
      </c>
      <c r="R381" s="81"/>
      <c r="S381" s="82"/>
      <c r="T381" s="81"/>
      <c r="W381" s="50" t="str">
        <f t="array" ref="W381">IF($V$2=0,"",IFERROR(INDEX($B$3:$C$520,SMALL(IF($B$3:$B$520=$V$2,ROW($B$3:$B$520)-2),ROW(B377)),2),""))</f>
        <v/>
      </c>
      <c r="AL381" s="71"/>
      <c r="AP381" s="80"/>
    </row>
    <row r="382" spans="2:42">
      <c r="B382" s="24" t="s">
        <v>273</v>
      </c>
      <c r="C382" s="24" t="s">
        <v>307</v>
      </c>
      <c r="N382" s="219" t="s">
        <v>273</v>
      </c>
      <c r="O382" s="219" t="s">
        <v>338</v>
      </c>
      <c r="P382" s="93" t="s">
        <v>1060</v>
      </c>
      <c r="R382" s="81"/>
      <c r="S382" s="82"/>
      <c r="T382" s="81"/>
      <c r="W382" s="50" t="str">
        <f t="array" ref="W382">IF($V$2=0,"",IFERROR(INDEX($B$3:$C$520,SMALL(IF($B$3:$B$520=$V$2,ROW($B$3:$B$520)-2),ROW(B378)),2),""))</f>
        <v/>
      </c>
      <c r="AL382" s="71"/>
      <c r="AP382" s="80"/>
    </row>
    <row r="383" spans="2:42">
      <c r="B383" s="24" t="s">
        <v>273</v>
      </c>
      <c r="C383" s="24" t="s">
        <v>308</v>
      </c>
      <c r="N383" s="219" t="s">
        <v>273</v>
      </c>
      <c r="O383" s="219" t="s">
        <v>340</v>
      </c>
      <c r="P383" s="93" t="s">
        <v>1060</v>
      </c>
      <c r="R383" s="81"/>
      <c r="S383" s="82"/>
      <c r="T383" s="81"/>
      <c r="W383" s="50" t="str">
        <f t="array" ref="W383">IF($V$2=0,"",IFERROR(INDEX($B$3:$C$520,SMALL(IF($B$3:$B$520=$V$2,ROW($B$3:$B$520)-2),ROW(B379)),2),""))</f>
        <v/>
      </c>
      <c r="AL383" s="71"/>
      <c r="AP383" s="80"/>
    </row>
    <row r="384" spans="2:42">
      <c r="B384" s="24" t="s">
        <v>273</v>
      </c>
      <c r="C384" s="24" t="s">
        <v>309</v>
      </c>
      <c r="N384" s="219" t="s">
        <v>273</v>
      </c>
      <c r="O384" s="219" t="s">
        <v>341</v>
      </c>
      <c r="P384" s="93" t="s">
        <v>1060</v>
      </c>
      <c r="R384" s="81"/>
      <c r="S384" s="82"/>
      <c r="T384" s="81"/>
      <c r="W384" s="50" t="str">
        <f t="array" ref="W384">IF($V$2=0,"",IFERROR(INDEX($B$3:$C$520,SMALL(IF($B$3:$B$520=$V$2,ROW($B$3:$B$520)-2),ROW(B380)),2),""))</f>
        <v/>
      </c>
      <c r="AL384" s="71"/>
      <c r="AP384" s="80"/>
    </row>
    <row r="385" spans="2:42">
      <c r="B385" s="24" t="s">
        <v>273</v>
      </c>
      <c r="C385" s="24" t="s">
        <v>310</v>
      </c>
      <c r="N385" s="219" t="s">
        <v>273</v>
      </c>
      <c r="O385" s="219" t="s">
        <v>342</v>
      </c>
      <c r="P385" s="93" t="s">
        <v>1060</v>
      </c>
      <c r="R385" s="81"/>
      <c r="S385" s="82"/>
      <c r="T385" s="81"/>
      <c r="W385" s="50" t="str">
        <f t="array" ref="W385">IF($V$2=0,"",IFERROR(INDEX($B$3:$C$520,SMALL(IF($B$3:$B$520=$V$2,ROW($B$3:$B$520)-2),ROW(B381)),2),""))</f>
        <v/>
      </c>
      <c r="AL385" s="71"/>
      <c r="AP385" s="80"/>
    </row>
    <row r="386" spans="2:42">
      <c r="B386" s="24" t="s">
        <v>273</v>
      </c>
      <c r="C386" s="24" t="s">
        <v>311</v>
      </c>
      <c r="N386" s="219" t="s">
        <v>273</v>
      </c>
      <c r="O386" s="219" t="s">
        <v>343</v>
      </c>
      <c r="P386" s="93" t="s">
        <v>1060</v>
      </c>
      <c r="R386" s="81"/>
      <c r="S386" s="82"/>
      <c r="T386" s="81"/>
      <c r="W386" s="50" t="str">
        <f t="array" ref="W386">IF($V$2=0,"",IFERROR(INDEX($B$3:$C$520,SMALL(IF($B$3:$B$520=$V$2,ROW($B$3:$B$520)-2),ROW(B382)),2),""))</f>
        <v/>
      </c>
      <c r="AL386" s="71"/>
      <c r="AP386" s="80"/>
    </row>
    <row r="387" spans="2:42">
      <c r="B387" s="24" t="s">
        <v>273</v>
      </c>
      <c r="C387" s="24" t="s">
        <v>312</v>
      </c>
      <c r="N387" s="219" t="s">
        <v>273</v>
      </c>
      <c r="O387" s="219" t="s">
        <v>344</v>
      </c>
      <c r="P387" s="93" t="s">
        <v>1060</v>
      </c>
      <c r="R387" s="81"/>
      <c r="S387" s="82"/>
      <c r="T387" s="81"/>
      <c r="W387" s="50" t="str">
        <f t="array" ref="W387">IF($V$2=0,"",IFERROR(INDEX($B$3:$C$520,SMALL(IF($B$3:$B$520=$V$2,ROW($B$3:$B$520)-2),ROW(B383)),2),""))</f>
        <v/>
      </c>
      <c r="AL387" s="71"/>
      <c r="AP387" s="80"/>
    </row>
    <row r="388" spans="2:42">
      <c r="B388" s="24" t="s">
        <v>273</v>
      </c>
      <c r="C388" s="24" t="s">
        <v>313</v>
      </c>
      <c r="N388" s="219" t="s">
        <v>273</v>
      </c>
      <c r="O388" s="219" t="s">
        <v>345</v>
      </c>
      <c r="P388" s="93" t="s">
        <v>1060</v>
      </c>
      <c r="R388" s="81"/>
      <c r="S388" s="82"/>
      <c r="T388" s="81"/>
      <c r="W388" s="50" t="str">
        <f t="array" ref="W388">IF($V$2=0,"",IFERROR(INDEX($B$3:$C$520,SMALL(IF($B$3:$B$520=$V$2,ROW($B$3:$B$520)-2),ROW(B384)),2),""))</f>
        <v/>
      </c>
      <c r="AL388" s="71"/>
      <c r="AP388" s="80"/>
    </row>
    <row r="389" spans="2:42">
      <c r="B389" s="24" t="s">
        <v>273</v>
      </c>
      <c r="C389" s="24" t="s">
        <v>314</v>
      </c>
      <c r="N389" s="219" t="s">
        <v>273</v>
      </c>
      <c r="O389" s="219" t="s">
        <v>346</v>
      </c>
      <c r="P389" s="93" t="s">
        <v>1060</v>
      </c>
      <c r="R389" s="81"/>
      <c r="S389" s="82"/>
      <c r="T389" s="81"/>
      <c r="W389" s="50" t="str">
        <f t="array" ref="W389">IF($V$2=0,"",IFERROR(INDEX($B$3:$C$520,SMALL(IF($B$3:$B$520=$V$2,ROW($B$3:$B$520)-2),ROW(B385)),2),""))</f>
        <v/>
      </c>
      <c r="AL389" s="71"/>
      <c r="AP389" s="80"/>
    </row>
    <row r="390" spans="2:42">
      <c r="B390" s="24" t="s">
        <v>273</v>
      </c>
      <c r="C390" s="24" t="s">
        <v>315</v>
      </c>
      <c r="N390" s="219" t="s">
        <v>273</v>
      </c>
      <c r="O390" s="219" t="s">
        <v>347</v>
      </c>
      <c r="P390" s="93" t="s">
        <v>1060</v>
      </c>
      <c r="R390" s="81"/>
      <c r="S390" s="82"/>
      <c r="T390" s="81"/>
      <c r="W390" s="50" t="str">
        <f t="array" ref="W390">IF($V$2=0,"",IFERROR(INDEX($B$3:$C$520,SMALL(IF($B$3:$B$520=$V$2,ROW($B$3:$B$520)-2),ROW(B386)),2),""))</f>
        <v/>
      </c>
      <c r="AL390" s="71"/>
      <c r="AP390" s="80"/>
    </row>
    <row r="391" spans="2:42">
      <c r="B391" s="24" t="s">
        <v>273</v>
      </c>
      <c r="C391" s="24" t="s">
        <v>316</v>
      </c>
      <c r="N391" s="219" t="s">
        <v>273</v>
      </c>
      <c r="O391" s="219" t="s">
        <v>348</v>
      </c>
      <c r="P391" s="93" t="s">
        <v>1060</v>
      </c>
      <c r="R391" s="81"/>
      <c r="S391" s="82"/>
      <c r="T391" s="81"/>
      <c r="W391" s="50" t="str">
        <f t="array" ref="W391">IF($V$2=0,"",IFERROR(INDEX($B$3:$C$520,SMALL(IF($B$3:$B$520=$V$2,ROW($B$3:$B$520)-2),ROW(B387)),2),""))</f>
        <v/>
      </c>
      <c r="AL391" s="71"/>
      <c r="AP391" s="80"/>
    </row>
    <row r="392" spans="2:42">
      <c r="B392" s="24" t="s">
        <v>273</v>
      </c>
      <c r="C392" s="24" t="s">
        <v>317</v>
      </c>
      <c r="N392" s="219" t="s">
        <v>273</v>
      </c>
      <c r="O392" s="219" t="s">
        <v>349</v>
      </c>
      <c r="P392" s="93" t="s">
        <v>1060</v>
      </c>
      <c r="R392" s="81"/>
      <c r="S392" s="82"/>
      <c r="T392" s="81"/>
      <c r="W392" s="50" t="str">
        <f t="array" ref="W392">IF($V$2=0,"",IFERROR(INDEX($B$3:$C$520,SMALL(IF($B$3:$B$520=$V$2,ROW($B$3:$B$520)-2),ROW(B388)),2),""))</f>
        <v/>
      </c>
      <c r="AL392" s="71"/>
      <c r="AP392" s="80"/>
    </row>
    <row r="393" spans="2:42">
      <c r="B393" s="24" t="s">
        <v>273</v>
      </c>
      <c r="C393" s="24" t="s">
        <v>318</v>
      </c>
      <c r="N393" s="219" t="s">
        <v>273</v>
      </c>
      <c r="O393" s="219" t="s">
        <v>350</v>
      </c>
      <c r="P393" s="93" t="s">
        <v>1060</v>
      </c>
      <c r="R393" s="81"/>
      <c r="S393" s="82"/>
      <c r="T393" s="81"/>
      <c r="W393" s="50" t="str">
        <f t="array" ref="W393">IF($V$2=0,"",IFERROR(INDEX($B$3:$C$520,SMALL(IF($B$3:$B$520=$V$2,ROW($B$3:$B$520)-2),ROW(B389)),2),""))</f>
        <v/>
      </c>
      <c r="AL393" s="71"/>
      <c r="AP393" s="80"/>
    </row>
    <row r="394" spans="2:42">
      <c r="B394" s="24" t="s">
        <v>273</v>
      </c>
      <c r="C394" s="24" t="s">
        <v>319</v>
      </c>
      <c r="N394" s="219" t="s">
        <v>273</v>
      </c>
      <c r="O394" s="219" t="s">
        <v>351</v>
      </c>
      <c r="P394" s="93" t="s">
        <v>1060</v>
      </c>
      <c r="R394" s="81"/>
      <c r="S394" s="82"/>
      <c r="T394" s="81"/>
      <c r="W394" s="50" t="str">
        <f t="array" ref="W394">IF($V$2=0,"",IFERROR(INDEX($B$3:$C$520,SMALL(IF($B$3:$B$520=$V$2,ROW($B$3:$B$520)-2),ROW(B390)),2),""))</f>
        <v/>
      </c>
      <c r="AL394" s="71"/>
      <c r="AP394" s="80"/>
    </row>
    <row r="395" spans="2:42">
      <c r="B395" s="24" t="s">
        <v>273</v>
      </c>
      <c r="C395" s="24" t="s">
        <v>320</v>
      </c>
      <c r="N395" s="219" t="s">
        <v>273</v>
      </c>
      <c r="O395" s="219" t="s">
        <v>352</v>
      </c>
      <c r="P395" s="93" t="s">
        <v>1060</v>
      </c>
      <c r="R395" s="81"/>
      <c r="S395" s="82"/>
      <c r="T395" s="81"/>
      <c r="W395" s="50" t="str">
        <f t="array" ref="W395">IF($V$2=0,"",IFERROR(INDEX($B$3:$C$520,SMALL(IF($B$3:$B$520=$V$2,ROW($B$3:$B$520)-2),ROW(B391)),2),""))</f>
        <v/>
      </c>
      <c r="AL395" s="71"/>
      <c r="AP395" s="80"/>
    </row>
    <row r="396" spans="2:42">
      <c r="B396" s="24" t="s">
        <v>273</v>
      </c>
      <c r="C396" s="24" t="s">
        <v>771</v>
      </c>
      <c r="N396" s="219" t="s">
        <v>273</v>
      </c>
      <c r="O396" s="219" t="s">
        <v>353</v>
      </c>
      <c r="P396" s="93" t="s">
        <v>1060</v>
      </c>
      <c r="R396" s="81"/>
      <c r="S396" s="82"/>
      <c r="T396" s="81"/>
      <c r="W396" s="50" t="str">
        <f t="array" ref="W396">IF($V$2=0,"",IFERROR(INDEX($B$3:$C$520,SMALL(IF($B$3:$B$520=$V$2,ROW($B$3:$B$520)-2),ROW(B392)),2),""))</f>
        <v/>
      </c>
      <c r="AL396" s="71"/>
      <c r="AP396" s="80"/>
    </row>
    <row r="397" spans="2:42">
      <c r="B397" s="24" t="s">
        <v>273</v>
      </c>
      <c r="C397" s="24" t="s">
        <v>826</v>
      </c>
      <c r="N397" s="219" t="s">
        <v>273</v>
      </c>
      <c r="O397" s="219" t="s">
        <v>354</v>
      </c>
      <c r="P397" s="93" t="s">
        <v>1060</v>
      </c>
      <c r="R397" s="81"/>
      <c r="S397" s="82"/>
      <c r="T397" s="81"/>
      <c r="W397" s="50" t="str">
        <f t="array" ref="W397">IF($V$2=0,"",IFERROR(INDEX($B$3:$C$520,SMALL(IF($B$3:$B$520=$V$2,ROW($B$3:$B$520)-2),ROW(B393)),2),""))</f>
        <v/>
      </c>
      <c r="AL397" s="71"/>
      <c r="AP397" s="80"/>
    </row>
    <row r="398" spans="2:42">
      <c r="B398" s="24" t="s">
        <v>273</v>
      </c>
      <c r="C398" s="24" t="s">
        <v>827</v>
      </c>
      <c r="N398" s="219" t="s">
        <v>273</v>
      </c>
      <c r="O398" s="219" t="s">
        <v>355</v>
      </c>
      <c r="P398" s="93" t="s">
        <v>1060</v>
      </c>
      <c r="R398" s="81"/>
      <c r="S398" s="82"/>
      <c r="T398" s="81"/>
      <c r="W398" s="50" t="str">
        <f t="array" ref="W398">IF($V$2=0,"",IFERROR(INDEX($B$3:$C$520,SMALL(IF($B$3:$B$520=$V$2,ROW($B$3:$B$520)-2),ROW(B394)),2),""))</f>
        <v/>
      </c>
      <c r="AL398" s="71"/>
      <c r="AP398" s="80"/>
    </row>
    <row r="399" spans="2:42">
      <c r="B399" s="24" t="s">
        <v>273</v>
      </c>
      <c r="C399" s="24" t="s">
        <v>828</v>
      </c>
      <c r="N399" s="219" t="s">
        <v>273</v>
      </c>
      <c r="O399" s="219" t="s">
        <v>356</v>
      </c>
      <c r="P399" s="93" t="s">
        <v>1060</v>
      </c>
      <c r="R399" s="81"/>
      <c r="S399" s="82"/>
      <c r="T399" s="81"/>
      <c r="W399" s="50" t="str">
        <f t="array" ref="W399">IF($V$2=0,"",IFERROR(INDEX($B$3:$C$520,SMALL(IF($B$3:$B$520=$V$2,ROW($B$3:$B$520)-2),ROW(B395)),2),""))</f>
        <v/>
      </c>
      <c r="AL399" s="71"/>
      <c r="AP399" s="80"/>
    </row>
    <row r="400" spans="2:42">
      <c r="B400" s="24" t="s">
        <v>273</v>
      </c>
      <c r="C400" s="24" t="s">
        <v>829</v>
      </c>
      <c r="N400" s="219" t="s">
        <v>273</v>
      </c>
      <c r="O400" s="219" t="s">
        <v>357</v>
      </c>
      <c r="P400" s="93" t="s">
        <v>1060</v>
      </c>
      <c r="R400" s="81"/>
      <c r="S400" s="82"/>
      <c r="T400" s="81"/>
      <c r="W400" s="50" t="str">
        <f t="array" ref="W400">IF($V$2=0,"",IFERROR(INDEX($B$3:$C$520,SMALL(IF($B$3:$B$520=$V$2,ROW($B$3:$B$520)-2),ROW(B396)),2),""))</f>
        <v/>
      </c>
      <c r="AL400" s="71"/>
      <c r="AP400" s="80"/>
    </row>
    <row r="401" spans="2:23">
      <c r="B401" s="24" t="s">
        <v>273</v>
      </c>
      <c r="C401" s="24" t="s">
        <v>830</v>
      </c>
      <c r="N401" s="219" t="s">
        <v>273</v>
      </c>
      <c r="O401" s="219" t="s">
        <v>358</v>
      </c>
      <c r="P401" s="93" t="s">
        <v>1060</v>
      </c>
      <c r="R401" s="81"/>
      <c r="S401" s="82"/>
      <c r="T401" s="81"/>
      <c r="W401" s="50" t="str">
        <f t="array" ref="W401">IF($V$2=0,"",IFERROR(INDEX($B$3:$C$520,SMALL(IF($B$3:$B$520=$V$2,ROW($B$3:$B$520)-2),ROW(B397)),2),""))</f>
        <v/>
      </c>
    </row>
    <row r="402" spans="2:23">
      <c r="B402" s="24" t="s">
        <v>273</v>
      </c>
      <c r="C402" s="24" t="s">
        <v>831</v>
      </c>
      <c r="N402" s="219" t="s">
        <v>273</v>
      </c>
      <c r="O402" s="219" t="s">
        <v>359</v>
      </c>
      <c r="P402" s="93" t="s">
        <v>1060</v>
      </c>
      <c r="R402" s="81"/>
      <c r="S402" s="82"/>
      <c r="T402" s="81"/>
      <c r="W402" s="50" t="str">
        <f t="array" ref="W402">IF($V$2=0,"",IFERROR(INDEX($B$3:$C$520,SMALL(IF($B$3:$B$520=$V$2,ROW($B$3:$B$520)-2),ROW(B398)),2),""))</f>
        <v/>
      </c>
    </row>
    <row r="403" spans="2:23">
      <c r="B403" s="24" t="s">
        <v>273</v>
      </c>
      <c r="C403" s="24" t="s">
        <v>832</v>
      </c>
      <c r="N403" s="219" t="s">
        <v>273</v>
      </c>
      <c r="O403" s="219" t="s">
        <v>360</v>
      </c>
      <c r="P403" s="93" t="s">
        <v>1060</v>
      </c>
      <c r="R403" s="81"/>
      <c r="S403" s="82"/>
      <c r="T403" s="81"/>
      <c r="W403" s="50" t="str">
        <f t="array" ref="W403">IF($V$2=0,"",IFERROR(INDEX($B$3:$C$520,SMALL(IF($B$3:$B$520=$V$2,ROW($B$3:$B$520)-2),ROW(B399)),2),""))</f>
        <v/>
      </c>
    </row>
    <row r="404" spans="2:23">
      <c r="B404" s="24" t="s">
        <v>273</v>
      </c>
      <c r="C404" s="24" t="s">
        <v>833</v>
      </c>
      <c r="N404" s="219" t="s">
        <v>273</v>
      </c>
      <c r="O404" s="219" t="s">
        <v>361</v>
      </c>
      <c r="P404" s="93" t="s">
        <v>1060</v>
      </c>
      <c r="R404" s="81"/>
      <c r="S404" s="82"/>
      <c r="T404" s="81"/>
      <c r="W404" s="50" t="str">
        <f t="array" ref="W404">IF($V$2=0,"",IFERROR(INDEX($B$3:$C$520,SMALL(IF($B$3:$B$520=$V$2,ROW($B$3:$B$520)-2),ROW(B400)),2),""))</f>
        <v/>
      </c>
    </row>
    <row r="405" spans="2:23">
      <c r="B405" s="24" t="s">
        <v>273</v>
      </c>
      <c r="C405" s="24" t="s">
        <v>851</v>
      </c>
      <c r="N405" s="219" t="s">
        <v>273</v>
      </c>
      <c r="O405" s="219" t="s">
        <v>362</v>
      </c>
      <c r="P405" s="93" t="s">
        <v>1060</v>
      </c>
      <c r="R405" s="81"/>
      <c r="S405" s="82"/>
      <c r="T405" s="81"/>
      <c r="W405" s="50" t="str">
        <f t="array" ref="W405">IF($V$2=0,"",IFERROR(INDEX($B$3:$C$520,SMALL(IF($B$3:$B$520=$V$2,ROW($B$3:$B$520)-2),ROW(B401)),2),""))</f>
        <v/>
      </c>
    </row>
    <row r="406" spans="2:23">
      <c r="B406" s="24" t="s">
        <v>273</v>
      </c>
      <c r="C406" s="24" t="s">
        <v>852</v>
      </c>
      <c r="N406" s="219" t="s">
        <v>273</v>
      </c>
      <c r="O406" s="219" t="s">
        <v>363</v>
      </c>
      <c r="P406" s="93" t="s">
        <v>1060</v>
      </c>
      <c r="R406" s="81"/>
      <c r="S406" s="82"/>
      <c r="T406" s="81"/>
      <c r="W406" s="50" t="str">
        <f t="array" ref="W406">IF($V$2=0,"",IFERROR(INDEX($B$3:$C$520,SMALL(IF($B$3:$B$520=$V$2,ROW($B$3:$B$520)-2),ROW(B402)),2),""))</f>
        <v/>
      </c>
    </row>
    <row r="407" spans="2:23">
      <c r="B407" s="24" t="s">
        <v>273</v>
      </c>
      <c r="C407" s="24" t="s">
        <v>853</v>
      </c>
      <c r="N407" s="219" t="s">
        <v>273</v>
      </c>
      <c r="O407" s="219" t="s">
        <v>364</v>
      </c>
      <c r="P407" s="93" t="s">
        <v>1060</v>
      </c>
      <c r="R407" s="81"/>
      <c r="S407" s="82"/>
      <c r="T407" s="81"/>
      <c r="W407" s="50" t="str">
        <f t="array" ref="W407">IF($V$2=0,"",IFERROR(INDEX($B$3:$C$520,SMALL(IF($B$3:$B$520=$V$2,ROW($B$3:$B$520)-2),ROW(B403)),2),""))</f>
        <v/>
      </c>
    </row>
    <row r="408" spans="2:23">
      <c r="B408" s="24" t="s">
        <v>273</v>
      </c>
      <c r="C408" s="24" t="s">
        <v>854</v>
      </c>
      <c r="N408" s="219" t="s">
        <v>273</v>
      </c>
      <c r="O408" s="219" t="s">
        <v>365</v>
      </c>
      <c r="P408" s="93" t="s">
        <v>1060</v>
      </c>
      <c r="R408" s="81"/>
      <c r="S408" s="82"/>
      <c r="T408" s="81"/>
      <c r="W408" s="50" t="str">
        <f t="array" ref="W408">IF($V$2=0,"",IFERROR(INDEX($B$3:$C$520,SMALL(IF($B$3:$B$520=$V$2,ROW($B$3:$B$520)-2),ROW(B404)),2),""))</f>
        <v/>
      </c>
    </row>
    <row r="409" spans="2:23">
      <c r="B409" s="24" t="s">
        <v>273</v>
      </c>
      <c r="C409" s="24" t="s">
        <v>855</v>
      </c>
      <c r="N409" s="219" t="s">
        <v>273</v>
      </c>
      <c r="O409" s="219" t="s">
        <v>770</v>
      </c>
      <c r="P409" s="93" t="s">
        <v>1060</v>
      </c>
      <c r="R409" s="81"/>
      <c r="S409" s="82"/>
      <c r="T409" s="81"/>
      <c r="W409" s="50" t="str">
        <f t="array" ref="W409">IF($V$2=0,"",IFERROR(INDEX($B$3:$C$520,SMALL(IF($B$3:$B$520=$V$2,ROW($B$3:$B$520)-2),ROW(B405)),2),""))</f>
        <v/>
      </c>
    </row>
    <row r="410" spans="2:23">
      <c r="B410" s="24" t="s">
        <v>273</v>
      </c>
      <c r="C410" s="24" t="s">
        <v>856</v>
      </c>
      <c r="N410" s="219" t="s">
        <v>273</v>
      </c>
      <c r="O410" s="219" t="s">
        <v>834</v>
      </c>
      <c r="P410" s="93" t="s">
        <v>1060</v>
      </c>
      <c r="R410" s="81"/>
      <c r="S410" s="82"/>
      <c r="T410" s="81"/>
      <c r="W410" s="50" t="str">
        <f t="array" ref="W410">IF($V$2=0,"",IFERROR(INDEX($B$3:$C$520,SMALL(IF($B$3:$B$520=$V$2,ROW($B$3:$B$520)-2),ROW(B406)),2),""))</f>
        <v/>
      </c>
    </row>
    <row r="411" spans="2:23">
      <c r="B411" s="24" t="s">
        <v>273</v>
      </c>
      <c r="C411" s="24" t="s">
        <v>1038</v>
      </c>
      <c r="N411" s="219" t="s">
        <v>273</v>
      </c>
      <c r="O411" s="219" t="s">
        <v>1037</v>
      </c>
      <c r="P411" s="93" t="s">
        <v>1060</v>
      </c>
      <c r="R411" s="81"/>
      <c r="S411" s="82"/>
      <c r="T411" s="81"/>
      <c r="W411" s="50" t="str">
        <f t="array" ref="W411">IF($V$2=0,"",IFERROR(INDEX($B$3:$C$520,SMALL(IF($B$3:$B$520=$V$2,ROW($B$3:$B$520)-2),ROW(B407)),2),""))</f>
        <v/>
      </c>
    </row>
    <row r="412" spans="2:23">
      <c r="B412" s="24" t="s">
        <v>321</v>
      </c>
      <c r="C412" s="24" t="s">
        <v>322</v>
      </c>
      <c r="N412" s="219" t="s">
        <v>273</v>
      </c>
      <c r="O412" s="219" t="s">
        <v>1033</v>
      </c>
      <c r="P412" s="93" t="s">
        <v>1060</v>
      </c>
      <c r="R412" s="81"/>
      <c r="S412" s="82"/>
      <c r="T412" s="81"/>
      <c r="W412" s="50" t="str">
        <f t="array" ref="W412">IF($V$2=0,"",IFERROR(INDEX($B$3:$C$520,SMALL(IF($B$3:$B$520=$V$2,ROW($B$3:$B$520)-2),ROW(B408)),2),""))</f>
        <v/>
      </c>
    </row>
    <row r="413" spans="2:23">
      <c r="B413" s="24" t="s">
        <v>321</v>
      </c>
      <c r="C413" s="24" t="s">
        <v>323</v>
      </c>
      <c r="N413" s="219" t="s">
        <v>273</v>
      </c>
      <c r="O413" s="219" t="s">
        <v>1035</v>
      </c>
      <c r="P413" s="93" t="s">
        <v>1060</v>
      </c>
      <c r="R413" s="81"/>
      <c r="S413" s="82"/>
      <c r="T413" s="81"/>
      <c r="W413" s="50" t="str">
        <f t="array" ref="W413">IF($V$2=0,"",IFERROR(INDEX($B$3:$C$520,SMALL(IF($B$3:$B$520=$V$2,ROW($B$3:$B$520)-2),ROW(B409)),2),""))</f>
        <v/>
      </c>
    </row>
    <row r="414" spans="2:23">
      <c r="B414" s="24" t="s">
        <v>321</v>
      </c>
      <c r="C414" s="24" t="s">
        <v>324</v>
      </c>
      <c r="N414" s="219" t="s">
        <v>273</v>
      </c>
      <c r="O414" s="219" t="s">
        <v>1036</v>
      </c>
      <c r="P414" s="93" t="s">
        <v>1060</v>
      </c>
      <c r="R414" s="81"/>
      <c r="S414" s="82"/>
      <c r="T414" s="81"/>
      <c r="W414" s="50" t="str">
        <f t="array" ref="W414">IF($V$2=0,"",IFERROR(INDEX($B$3:$C$520,SMALL(IF($B$3:$B$520=$V$2,ROW($B$3:$B$520)-2),ROW(B410)),2),""))</f>
        <v/>
      </c>
    </row>
    <row r="415" spans="2:23">
      <c r="B415" s="24" t="s">
        <v>321</v>
      </c>
      <c r="C415" s="24" t="s">
        <v>325</v>
      </c>
      <c r="N415" s="219" t="s">
        <v>273</v>
      </c>
      <c r="O415" s="219" t="s">
        <v>1034</v>
      </c>
      <c r="P415" s="93" t="s">
        <v>1060</v>
      </c>
      <c r="R415" s="81"/>
      <c r="S415" s="82"/>
      <c r="T415" s="81"/>
      <c r="W415" s="50" t="str">
        <f t="array" ref="W415">IF($V$2=0,"",IFERROR(INDEX($B$3:$C$520,SMALL(IF($B$3:$B$520=$V$2,ROW($B$3:$B$520)-2),ROW(B411)),2),""))</f>
        <v/>
      </c>
    </row>
    <row r="416" spans="2:23">
      <c r="B416" s="24" t="s">
        <v>321</v>
      </c>
      <c r="C416" s="24" t="s">
        <v>326</v>
      </c>
      <c r="N416" s="219" t="s">
        <v>272</v>
      </c>
      <c r="O416" s="219" t="s">
        <v>274</v>
      </c>
      <c r="P416" s="93" t="s">
        <v>1060</v>
      </c>
      <c r="R416" s="81"/>
      <c r="S416" s="82"/>
      <c r="T416" s="81"/>
      <c r="W416" s="50" t="str">
        <f t="array" ref="W416">IF($V$2=0,"",IFERROR(INDEX($B$3:$C$520,SMALL(IF($B$3:$B$520=$V$2,ROW($B$3:$B$520)-2),ROW(B412)),2),""))</f>
        <v/>
      </c>
    </row>
    <row r="417" spans="2:23">
      <c r="B417" s="24" t="s">
        <v>321</v>
      </c>
      <c r="C417" s="24" t="s">
        <v>327</v>
      </c>
      <c r="N417" s="219" t="s">
        <v>272</v>
      </c>
      <c r="O417" s="219" t="s">
        <v>275</v>
      </c>
      <c r="P417" s="93" t="s">
        <v>1060</v>
      </c>
      <c r="R417" s="81"/>
      <c r="S417" s="82"/>
      <c r="T417" s="81"/>
      <c r="W417" s="50" t="str">
        <f t="array" ref="W417">IF($V$2=0,"",IFERROR(INDEX($B$3:$C$520,SMALL(IF($B$3:$B$520=$V$2,ROW($B$3:$B$520)-2),ROW(B413)),2),""))</f>
        <v/>
      </c>
    </row>
    <row r="418" spans="2:23">
      <c r="B418" s="24" t="s">
        <v>321</v>
      </c>
      <c r="C418" s="24" t="s">
        <v>328</v>
      </c>
      <c r="N418" s="219" t="s">
        <v>272</v>
      </c>
      <c r="O418" s="219" t="s">
        <v>276</v>
      </c>
      <c r="P418" s="93" t="s">
        <v>1060</v>
      </c>
      <c r="R418" s="81"/>
      <c r="S418" s="82"/>
      <c r="T418" s="81"/>
      <c r="W418" s="50" t="str">
        <f t="array" ref="W418">IF($V$2=0,"",IFERROR(INDEX($B$3:$C$520,SMALL(IF($B$3:$B$520=$V$2,ROW($B$3:$B$520)-2),ROW(B414)),2),""))</f>
        <v/>
      </c>
    </row>
    <row r="419" spans="2:23">
      <c r="B419" s="24" t="s">
        <v>321</v>
      </c>
      <c r="C419" s="24" t="s">
        <v>329</v>
      </c>
      <c r="N419" s="219" t="s">
        <v>272</v>
      </c>
      <c r="O419" s="219" t="s">
        <v>277</v>
      </c>
      <c r="P419" s="93" t="s">
        <v>1060</v>
      </c>
      <c r="R419" s="81"/>
      <c r="S419" s="82"/>
      <c r="T419" s="81"/>
      <c r="W419" s="50" t="str">
        <f t="array" ref="W419">IF($V$2=0,"",IFERROR(INDEX($B$3:$C$520,SMALL(IF($B$3:$B$520=$V$2,ROW($B$3:$B$520)-2),ROW(B415)),2),""))</f>
        <v/>
      </c>
    </row>
    <row r="420" spans="2:23">
      <c r="B420" s="24" t="s">
        <v>321</v>
      </c>
      <c r="C420" s="24" t="s">
        <v>330</v>
      </c>
      <c r="N420" s="219" t="s">
        <v>272</v>
      </c>
      <c r="O420" s="219" t="s">
        <v>278</v>
      </c>
      <c r="P420" s="93" t="s">
        <v>1060</v>
      </c>
      <c r="R420" s="81"/>
      <c r="S420" s="82"/>
      <c r="T420" s="81"/>
      <c r="W420" s="50" t="str">
        <f t="array" ref="W420">IF($V$2=0,"",IFERROR(INDEX($B$3:$C$520,SMALL(IF($B$3:$B$520=$V$2,ROW($B$3:$B$520)-2),ROW(B416)),2),""))</f>
        <v/>
      </c>
    </row>
    <row r="421" spans="2:23">
      <c r="B421" s="24" t="s">
        <v>321</v>
      </c>
      <c r="C421" s="24" t="s">
        <v>331</v>
      </c>
      <c r="N421" s="219" t="s">
        <v>272</v>
      </c>
      <c r="O421" s="219" t="s">
        <v>279</v>
      </c>
      <c r="P421" s="93" t="s">
        <v>1060</v>
      </c>
      <c r="R421" s="81"/>
      <c r="S421" s="82"/>
      <c r="T421" s="81"/>
      <c r="W421" s="50" t="str">
        <f t="array" ref="W421">IF($V$2=0,"",IFERROR(INDEX($B$3:$C$520,SMALL(IF($B$3:$B$520=$V$2,ROW($B$3:$B$520)-2),ROW(B417)),2),""))</f>
        <v/>
      </c>
    </row>
    <row r="422" spans="2:23">
      <c r="B422" s="24" t="s">
        <v>321</v>
      </c>
      <c r="C422" s="24" t="s">
        <v>332</v>
      </c>
      <c r="N422" s="219" t="s">
        <v>272</v>
      </c>
      <c r="O422" s="219" t="s">
        <v>280</v>
      </c>
      <c r="P422" s="93" t="s">
        <v>1060</v>
      </c>
      <c r="R422" s="81"/>
      <c r="S422" s="82"/>
      <c r="T422" s="81"/>
      <c r="W422" s="50" t="str">
        <f t="array" ref="W422">IF($V$2=0,"",IFERROR(INDEX($B$3:$C$520,SMALL(IF($B$3:$B$520=$V$2,ROW($B$3:$B$520)-2),ROW(B418)),2),""))</f>
        <v/>
      </c>
    </row>
    <row r="423" spans="2:23">
      <c r="B423" s="24" t="s">
        <v>321</v>
      </c>
      <c r="C423" s="24" t="s">
        <v>333</v>
      </c>
      <c r="N423" s="219" t="s">
        <v>272</v>
      </c>
      <c r="O423" s="219" t="s">
        <v>281</v>
      </c>
      <c r="P423" s="93" t="s">
        <v>1060</v>
      </c>
      <c r="R423" s="81"/>
      <c r="S423" s="82"/>
      <c r="T423" s="81"/>
      <c r="W423" s="50" t="str">
        <f t="array" ref="W423">IF($V$2=0,"",IFERROR(INDEX($B$3:$C$520,SMALL(IF($B$3:$B$520=$V$2,ROW($B$3:$B$520)-2),ROW(B419)),2),""))</f>
        <v/>
      </c>
    </row>
    <row r="424" spans="2:23">
      <c r="B424" s="24" t="s">
        <v>321</v>
      </c>
      <c r="C424" s="24" t="s">
        <v>334</v>
      </c>
      <c r="N424" s="219" t="s">
        <v>272</v>
      </c>
      <c r="O424" s="219" t="s">
        <v>1053</v>
      </c>
      <c r="P424" s="93" t="s">
        <v>1060</v>
      </c>
      <c r="R424" s="81"/>
      <c r="S424" s="82"/>
      <c r="T424" s="81"/>
      <c r="W424" s="50" t="str">
        <f t="array" ref="W424">IF($V$2=0,"",IFERROR(INDEX($B$3:$C$520,SMALL(IF($B$3:$B$520=$V$2,ROW($B$3:$B$520)-2),ROW(B420)),2),""))</f>
        <v/>
      </c>
    </row>
    <row r="425" spans="2:23">
      <c r="B425" s="24" t="s">
        <v>321</v>
      </c>
      <c r="C425" s="24" t="s">
        <v>335</v>
      </c>
      <c r="N425" s="219" t="s">
        <v>272</v>
      </c>
      <c r="O425" s="219" t="s">
        <v>282</v>
      </c>
      <c r="P425" s="93" t="s">
        <v>1060</v>
      </c>
      <c r="R425" s="81"/>
      <c r="S425" s="82"/>
      <c r="T425" s="81"/>
      <c r="W425" s="50" t="str">
        <f t="array" ref="W425">IF($V$2=0,"",IFERROR(INDEX($B$3:$C$520,SMALL(IF($B$3:$B$520=$V$2,ROW($B$3:$B$520)-2),ROW(B421)),2),""))</f>
        <v/>
      </c>
    </row>
    <row r="426" spans="2:23">
      <c r="B426" s="24" t="s">
        <v>321</v>
      </c>
      <c r="C426" s="24" t="s">
        <v>336</v>
      </c>
      <c r="N426" s="219" t="s">
        <v>272</v>
      </c>
      <c r="O426" s="219" t="s">
        <v>283</v>
      </c>
      <c r="P426" s="93" t="s">
        <v>1060</v>
      </c>
      <c r="R426" s="81"/>
      <c r="S426" s="82"/>
      <c r="T426" s="81"/>
      <c r="W426" s="50" t="str">
        <f t="array" ref="W426">IF($V$2=0,"",IFERROR(INDEX($B$3:$C$520,SMALL(IF($B$3:$B$520=$V$2,ROW($B$3:$B$520)-2),ROW(B422)),2),""))</f>
        <v/>
      </c>
    </row>
    <row r="427" spans="2:23">
      <c r="B427" s="24" t="s">
        <v>321</v>
      </c>
      <c r="C427" s="24" t="s">
        <v>337</v>
      </c>
      <c r="N427" s="219" t="s">
        <v>272</v>
      </c>
      <c r="O427" s="219" t="s">
        <v>284</v>
      </c>
      <c r="P427" s="93" t="s">
        <v>1060</v>
      </c>
      <c r="R427" s="81"/>
      <c r="S427" s="82"/>
      <c r="T427" s="81"/>
      <c r="W427" s="50" t="str">
        <f t="array" ref="W427">IF($V$2=0,"",IFERROR(INDEX($B$3:$C$520,SMALL(IF($B$3:$B$520=$V$2,ROW($B$3:$B$520)-2),ROW(B423)),2),""))</f>
        <v/>
      </c>
    </row>
    <row r="428" spans="2:23">
      <c r="B428" s="24" t="s">
        <v>321</v>
      </c>
      <c r="C428" s="24" t="s">
        <v>338</v>
      </c>
      <c r="N428" s="219" t="s">
        <v>272</v>
      </c>
      <c r="O428" s="219" t="s">
        <v>285</v>
      </c>
      <c r="P428" s="93" t="s">
        <v>1060</v>
      </c>
      <c r="R428" s="81"/>
      <c r="S428" s="82"/>
      <c r="T428" s="81"/>
      <c r="W428" s="50" t="str">
        <f t="array" ref="W428">IF($V$2=0,"",IFERROR(INDEX($B$3:$C$520,SMALL(IF($B$3:$B$520=$V$2,ROW($B$3:$B$520)-2),ROW(B424)),2),""))</f>
        <v/>
      </c>
    </row>
    <row r="429" spans="2:23">
      <c r="B429" s="24" t="s">
        <v>321</v>
      </c>
      <c r="C429" s="24" t="s">
        <v>339</v>
      </c>
      <c r="N429" s="219" t="s">
        <v>272</v>
      </c>
      <c r="O429" s="219" t="s">
        <v>286</v>
      </c>
      <c r="P429" s="93" t="s">
        <v>1060</v>
      </c>
      <c r="R429" s="81"/>
      <c r="S429" s="82"/>
      <c r="T429" s="81"/>
      <c r="W429" s="50" t="str">
        <f t="array" ref="W429">IF($V$2=0,"",IFERROR(INDEX($B$3:$C$520,SMALL(IF($B$3:$B$520=$V$2,ROW($B$3:$B$520)-2),ROW(B425)),2),""))</f>
        <v/>
      </c>
    </row>
    <row r="430" spans="2:23">
      <c r="B430" s="24" t="s">
        <v>321</v>
      </c>
      <c r="C430" s="24" t="s">
        <v>340</v>
      </c>
      <c r="N430" s="219" t="s">
        <v>272</v>
      </c>
      <c r="O430" s="219" t="s">
        <v>287</v>
      </c>
      <c r="P430" s="93" t="s">
        <v>1060</v>
      </c>
      <c r="R430" s="81"/>
      <c r="S430" s="82"/>
      <c r="T430" s="81"/>
      <c r="W430" s="50" t="str">
        <f t="array" ref="W430">IF($V$2=0,"",IFERROR(INDEX($B$3:$C$520,SMALL(IF($B$3:$B$520=$V$2,ROW($B$3:$B$520)-2),ROW(B426)),2),""))</f>
        <v/>
      </c>
    </row>
    <row r="431" spans="2:23">
      <c r="B431" s="24" t="s">
        <v>321</v>
      </c>
      <c r="C431" s="24" t="s">
        <v>341</v>
      </c>
      <c r="N431" s="219" t="s">
        <v>272</v>
      </c>
      <c r="O431" s="219" t="s">
        <v>288</v>
      </c>
      <c r="P431" s="93" t="s">
        <v>1060</v>
      </c>
      <c r="R431" s="81"/>
      <c r="S431" s="82"/>
      <c r="T431" s="81"/>
      <c r="W431" s="50" t="str">
        <f t="array" ref="W431">IF($V$2=0,"",IFERROR(INDEX($B$3:$C$520,SMALL(IF($B$3:$B$520=$V$2,ROW($B$3:$B$520)-2),ROW(B427)),2),""))</f>
        <v/>
      </c>
    </row>
    <row r="432" spans="2:23">
      <c r="B432" s="24" t="s">
        <v>321</v>
      </c>
      <c r="C432" s="24" t="s">
        <v>342</v>
      </c>
      <c r="N432" s="219" t="s">
        <v>272</v>
      </c>
      <c r="O432" s="219" t="s">
        <v>289</v>
      </c>
      <c r="P432" s="93" t="s">
        <v>1060</v>
      </c>
      <c r="R432" s="81"/>
      <c r="S432" s="82"/>
      <c r="T432" s="81"/>
      <c r="W432" s="50" t="str">
        <f t="array" ref="W432">IF($V$2=0,"",IFERROR(INDEX($B$3:$C$520,SMALL(IF($B$3:$B$520=$V$2,ROW($B$3:$B$520)-2),ROW(B428)),2),""))</f>
        <v/>
      </c>
    </row>
    <row r="433" spans="2:23">
      <c r="B433" s="24" t="s">
        <v>321</v>
      </c>
      <c r="C433" s="24" t="s">
        <v>343</v>
      </c>
      <c r="N433" s="219" t="s">
        <v>272</v>
      </c>
      <c r="O433" s="219" t="s">
        <v>292</v>
      </c>
      <c r="P433" s="93" t="s">
        <v>1060</v>
      </c>
      <c r="R433" s="81"/>
      <c r="S433" s="82"/>
      <c r="T433" s="81"/>
      <c r="W433" s="50" t="str">
        <f t="array" ref="W433">IF($V$2=0,"",IFERROR(INDEX($B$3:$C$520,SMALL(IF($B$3:$B$520=$V$2,ROW($B$3:$B$520)-2),ROW(B429)),2),""))</f>
        <v/>
      </c>
    </row>
    <row r="434" spans="2:23">
      <c r="B434" s="24" t="s">
        <v>321</v>
      </c>
      <c r="C434" s="24" t="s">
        <v>344</v>
      </c>
      <c r="N434" s="219" t="s">
        <v>272</v>
      </c>
      <c r="O434" s="219" t="s">
        <v>293</v>
      </c>
      <c r="P434" s="93" t="s">
        <v>1060</v>
      </c>
      <c r="R434" s="81"/>
      <c r="S434" s="82"/>
      <c r="T434" s="81"/>
      <c r="W434" s="50" t="str">
        <f t="array" ref="W434">IF($V$2=0,"",IFERROR(INDEX($B$3:$C$520,SMALL(IF($B$3:$B$520=$V$2,ROW($B$3:$B$520)-2),ROW(B430)),2),""))</f>
        <v/>
      </c>
    </row>
    <row r="435" spans="2:23">
      <c r="B435" s="24" t="s">
        <v>321</v>
      </c>
      <c r="C435" s="24" t="s">
        <v>345</v>
      </c>
      <c r="N435" s="219" t="s">
        <v>272</v>
      </c>
      <c r="O435" s="219" t="s">
        <v>294</v>
      </c>
      <c r="P435" s="93" t="s">
        <v>1060</v>
      </c>
      <c r="R435" s="81"/>
      <c r="S435" s="82"/>
      <c r="T435" s="81"/>
      <c r="W435" s="50" t="str">
        <f t="array" ref="W435">IF($V$2=0,"",IFERROR(INDEX($B$3:$C$520,SMALL(IF($B$3:$B$520=$V$2,ROW($B$3:$B$520)-2),ROW(B431)),2),""))</f>
        <v/>
      </c>
    </row>
    <row r="436" spans="2:23">
      <c r="B436" s="24" t="s">
        <v>321</v>
      </c>
      <c r="C436" s="24" t="s">
        <v>346</v>
      </c>
      <c r="N436" s="219" t="s">
        <v>272</v>
      </c>
      <c r="O436" s="219" t="s">
        <v>295</v>
      </c>
      <c r="P436" s="93" t="s">
        <v>1060</v>
      </c>
      <c r="R436" s="81"/>
      <c r="S436" s="82"/>
      <c r="T436" s="81"/>
      <c r="W436" s="50" t="str">
        <f t="array" ref="W436">IF($V$2=0,"",IFERROR(INDEX($B$3:$C$520,SMALL(IF($B$3:$B$520=$V$2,ROW($B$3:$B$520)-2),ROW(B432)),2),""))</f>
        <v/>
      </c>
    </row>
    <row r="437" spans="2:23">
      <c r="B437" s="24" t="s">
        <v>321</v>
      </c>
      <c r="C437" s="24" t="s">
        <v>347</v>
      </c>
      <c r="N437" s="219" t="s">
        <v>272</v>
      </c>
      <c r="O437" s="219" t="s">
        <v>296</v>
      </c>
      <c r="P437" s="93" t="s">
        <v>1060</v>
      </c>
      <c r="R437" s="81"/>
      <c r="S437" s="82"/>
      <c r="T437" s="81"/>
      <c r="W437" s="50" t="str">
        <f t="array" ref="W437">IF($V$2=0,"",IFERROR(INDEX($B$3:$C$520,SMALL(IF($B$3:$B$520=$V$2,ROW($B$3:$B$520)-2),ROW(B433)),2),""))</f>
        <v/>
      </c>
    </row>
    <row r="438" spans="2:23">
      <c r="B438" s="24" t="s">
        <v>321</v>
      </c>
      <c r="C438" s="24" t="s">
        <v>348</v>
      </c>
      <c r="N438" s="219" t="s">
        <v>272</v>
      </c>
      <c r="O438" s="219" t="s">
        <v>297</v>
      </c>
      <c r="P438" s="93" t="s">
        <v>1060</v>
      </c>
      <c r="R438" s="81"/>
      <c r="S438" s="82"/>
      <c r="T438" s="81"/>
      <c r="W438" s="50" t="str">
        <f t="array" ref="W438">IF($V$2=0,"",IFERROR(INDEX($B$3:$C$520,SMALL(IF($B$3:$B$520=$V$2,ROW($B$3:$B$520)-2),ROW(B434)),2),""))</f>
        <v/>
      </c>
    </row>
    <row r="439" spans="2:23">
      <c r="B439" s="24" t="s">
        <v>321</v>
      </c>
      <c r="C439" s="24" t="s">
        <v>349</v>
      </c>
      <c r="N439" s="219" t="s">
        <v>272</v>
      </c>
      <c r="O439" s="219" t="s">
        <v>298</v>
      </c>
      <c r="P439" s="93" t="s">
        <v>1060</v>
      </c>
      <c r="R439" s="81"/>
      <c r="S439" s="82"/>
      <c r="T439" s="81"/>
      <c r="W439" s="50" t="str">
        <f t="array" ref="W439">IF($V$2=0,"",IFERROR(INDEX($B$3:$C$520,SMALL(IF($B$3:$B$520=$V$2,ROW($B$3:$B$520)-2),ROW(B435)),2),""))</f>
        <v/>
      </c>
    </row>
    <row r="440" spans="2:23">
      <c r="B440" s="24" t="s">
        <v>321</v>
      </c>
      <c r="C440" s="24" t="s">
        <v>350</v>
      </c>
      <c r="N440" s="219" t="s">
        <v>272</v>
      </c>
      <c r="O440" s="219" t="s">
        <v>299</v>
      </c>
      <c r="P440" s="93" t="s">
        <v>1060</v>
      </c>
      <c r="R440" s="81"/>
      <c r="S440" s="82"/>
      <c r="T440" s="81"/>
      <c r="W440" s="50" t="str">
        <f t="array" ref="W440">IF($V$2=0,"",IFERROR(INDEX($B$3:$C$520,SMALL(IF($B$3:$B$520=$V$2,ROW($B$3:$B$520)-2),ROW(B436)),2),""))</f>
        <v/>
      </c>
    </row>
    <row r="441" spans="2:23">
      <c r="B441" s="24" t="s">
        <v>321</v>
      </c>
      <c r="C441" s="24" t="s">
        <v>351</v>
      </c>
      <c r="N441" s="219" t="s">
        <v>272</v>
      </c>
      <c r="O441" s="219" t="s">
        <v>300</v>
      </c>
      <c r="P441" s="93" t="s">
        <v>1060</v>
      </c>
      <c r="R441" s="81"/>
      <c r="S441" s="82"/>
      <c r="T441" s="81"/>
      <c r="W441" s="50" t="str">
        <f t="array" ref="W441">IF($V$2=0,"",IFERROR(INDEX($B$3:$C$520,SMALL(IF($B$3:$B$520=$V$2,ROW($B$3:$B$520)-2),ROW(B437)),2),""))</f>
        <v/>
      </c>
    </row>
    <row r="442" spans="2:23">
      <c r="B442" s="24" t="s">
        <v>321</v>
      </c>
      <c r="C442" s="24" t="s">
        <v>352</v>
      </c>
      <c r="N442" s="219" t="s">
        <v>272</v>
      </c>
      <c r="O442" s="219" t="s">
        <v>301</v>
      </c>
      <c r="P442" s="93" t="s">
        <v>1060</v>
      </c>
      <c r="R442" s="81"/>
      <c r="S442" s="82"/>
      <c r="T442" s="81"/>
      <c r="W442" s="50" t="str">
        <f t="array" ref="W442">IF($V$2=0,"",IFERROR(INDEX($B$3:$C$520,SMALL(IF($B$3:$B$520=$V$2,ROW($B$3:$B$520)-2),ROW(B438)),2),""))</f>
        <v/>
      </c>
    </row>
    <row r="443" spans="2:23">
      <c r="B443" s="24" t="s">
        <v>321</v>
      </c>
      <c r="C443" s="24" t="s">
        <v>353</v>
      </c>
      <c r="N443" s="219" t="s">
        <v>272</v>
      </c>
      <c r="O443" s="219" t="s">
        <v>302</v>
      </c>
      <c r="P443" s="93" t="s">
        <v>1060</v>
      </c>
      <c r="R443" s="81"/>
      <c r="S443" s="82"/>
      <c r="T443" s="81"/>
      <c r="W443" s="50" t="str">
        <f t="array" ref="W443">IF($V$2=0,"",IFERROR(INDEX($B$3:$C$520,SMALL(IF($B$3:$B$520=$V$2,ROW($B$3:$B$520)-2),ROW(B439)),2),""))</f>
        <v/>
      </c>
    </row>
    <row r="444" spans="2:23">
      <c r="B444" s="24" t="s">
        <v>321</v>
      </c>
      <c r="C444" s="24" t="s">
        <v>354</v>
      </c>
      <c r="N444" s="219" t="s">
        <v>272</v>
      </c>
      <c r="O444" s="219" t="s">
        <v>303</v>
      </c>
      <c r="P444" s="93" t="s">
        <v>1060</v>
      </c>
      <c r="R444" s="81"/>
      <c r="S444" s="82"/>
      <c r="T444" s="81"/>
      <c r="W444" s="50" t="str">
        <f t="array" ref="W444">IF($V$2=0,"",IFERROR(INDEX($B$3:$C$520,SMALL(IF($B$3:$B$520=$V$2,ROW($B$3:$B$520)-2),ROW(B440)),2),""))</f>
        <v/>
      </c>
    </row>
    <row r="445" spans="2:23">
      <c r="B445" s="24" t="s">
        <v>321</v>
      </c>
      <c r="C445" s="24" t="s">
        <v>355</v>
      </c>
      <c r="N445" s="219" t="s">
        <v>272</v>
      </c>
      <c r="O445" s="219" t="s">
        <v>304</v>
      </c>
      <c r="P445" s="93" t="s">
        <v>1060</v>
      </c>
      <c r="R445" s="81"/>
      <c r="S445" s="82"/>
      <c r="T445" s="81"/>
      <c r="W445" s="50" t="str">
        <f t="array" ref="W445">IF($V$2=0,"",IFERROR(INDEX($B$3:$C$520,SMALL(IF($B$3:$B$520=$V$2,ROW($B$3:$B$520)-2),ROW(B441)),2),""))</f>
        <v/>
      </c>
    </row>
    <row r="446" spans="2:23">
      <c r="B446" s="24" t="s">
        <v>321</v>
      </c>
      <c r="C446" s="24" t="s">
        <v>356</v>
      </c>
      <c r="N446" s="219" t="s">
        <v>272</v>
      </c>
      <c r="O446" s="219" t="s">
        <v>305</v>
      </c>
      <c r="P446" s="93" t="s">
        <v>1060</v>
      </c>
      <c r="R446" s="81"/>
      <c r="S446" s="82"/>
      <c r="T446" s="81"/>
      <c r="W446" s="50" t="str">
        <f t="array" ref="W446">IF($V$2=0,"",IFERROR(INDEX($B$3:$C$520,SMALL(IF($B$3:$B$520=$V$2,ROW($B$3:$B$520)-2),ROW(B442)),2),""))</f>
        <v/>
      </c>
    </row>
    <row r="447" spans="2:23">
      <c r="B447" s="24" t="s">
        <v>321</v>
      </c>
      <c r="C447" s="24" t="s">
        <v>357</v>
      </c>
      <c r="N447" s="219" t="s">
        <v>272</v>
      </c>
      <c r="O447" s="219" t="s">
        <v>306</v>
      </c>
      <c r="P447" s="93" t="s">
        <v>1060</v>
      </c>
      <c r="R447" s="81"/>
      <c r="S447" s="82"/>
      <c r="T447" s="81"/>
      <c r="W447" s="50" t="str">
        <f t="array" ref="W447">IF($V$2=0,"",IFERROR(INDEX($B$3:$C$520,SMALL(IF($B$3:$B$520=$V$2,ROW($B$3:$B$520)-2),ROW(B443)),2),""))</f>
        <v/>
      </c>
    </row>
    <row r="448" spans="2:23">
      <c r="B448" s="24" t="s">
        <v>321</v>
      </c>
      <c r="C448" s="24" t="s">
        <v>358</v>
      </c>
      <c r="N448" s="219" t="s">
        <v>272</v>
      </c>
      <c r="O448" s="219" t="s">
        <v>307</v>
      </c>
      <c r="P448" s="93" t="s">
        <v>1060</v>
      </c>
      <c r="R448" s="81"/>
      <c r="S448" s="82"/>
      <c r="T448" s="81"/>
      <c r="W448" s="50" t="str">
        <f t="array" ref="W448">IF($V$2=0,"",IFERROR(INDEX($B$3:$C$520,SMALL(IF($B$3:$B$520=$V$2,ROW($B$3:$B$520)-2),ROW(B444)),2),""))</f>
        <v/>
      </c>
    </row>
    <row r="449" spans="2:23">
      <c r="B449" s="24" t="s">
        <v>321</v>
      </c>
      <c r="C449" s="24" t="s">
        <v>359</v>
      </c>
      <c r="N449" s="219" t="s">
        <v>272</v>
      </c>
      <c r="O449" s="219" t="s">
        <v>308</v>
      </c>
      <c r="P449" s="93" t="s">
        <v>1060</v>
      </c>
      <c r="R449" s="81"/>
      <c r="S449" s="82"/>
      <c r="T449" s="81"/>
      <c r="W449" s="50" t="str">
        <f t="array" ref="W449">IF($V$2=0,"",IFERROR(INDEX($B$3:$C$520,SMALL(IF($B$3:$B$520=$V$2,ROW($B$3:$B$520)-2),ROW(B445)),2),""))</f>
        <v/>
      </c>
    </row>
    <row r="450" spans="2:23">
      <c r="B450" s="24" t="s">
        <v>321</v>
      </c>
      <c r="C450" s="24" t="s">
        <v>360</v>
      </c>
      <c r="N450" s="219" t="s">
        <v>272</v>
      </c>
      <c r="O450" s="219" t="s">
        <v>309</v>
      </c>
      <c r="P450" s="93" t="s">
        <v>1060</v>
      </c>
      <c r="R450" s="81"/>
      <c r="S450" s="82"/>
      <c r="T450" s="81"/>
      <c r="W450" s="50" t="str">
        <f t="array" ref="W450">IF($V$2=0,"",IFERROR(INDEX($B$3:$C$520,SMALL(IF($B$3:$B$520=$V$2,ROW($B$3:$B$520)-2),ROW(B446)),2),""))</f>
        <v/>
      </c>
    </row>
    <row r="451" spans="2:23">
      <c r="B451" s="24" t="s">
        <v>321</v>
      </c>
      <c r="C451" s="24" t="s">
        <v>361</v>
      </c>
      <c r="N451" s="219" t="s">
        <v>272</v>
      </c>
      <c r="O451" s="219" t="s">
        <v>310</v>
      </c>
      <c r="P451" s="93" t="s">
        <v>1060</v>
      </c>
      <c r="R451" s="81"/>
      <c r="S451" s="82"/>
      <c r="T451" s="81"/>
      <c r="W451" s="50" t="str">
        <f t="array" ref="W451">IF($V$2=0,"",IFERROR(INDEX($B$3:$C$520,SMALL(IF($B$3:$B$520=$V$2,ROW($B$3:$B$520)-2),ROW(B447)),2),""))</f>
        <v/>
      </c>
    </row>
    <row r="452" spans="2:23">
      <c r="B452" s="24" t="s">
        <v>321</v>
      </c>
      <c r="C452" s="24" t="s">
        <v>362</v>
      </c>
      <c r="N452" s="219" t="s">
        <v>272</v>
      </c>
      <c r="O452" s="219" t="s">
        <v>311</v>
      </c>
      <c r="P452" s="93" t="s">
        <v>1060</v>
      </c>
      <c r="R452" s="81"/>
      <c r="S452" s="82"/>
      <c r="T452" s="81"/>
      <c r="W452" s="50" t="str">
        <f t="array" ref="W452">IF($V$2=0,"",IFERROR(INDEX($B$3:$C$520,SMALL(IF($B$3:$B$520=$V$2,ROW($B$3:$B$520)-2),ROW(B448)),2),""))</f>
        <v/>
      </c>
    </row>
    <row r="453" spans="2:23">
      <c r="B453" s="24" t="s">
        <v>321</v>
      </c>
      <c r="C453" s="24" t="s">
        <v>363</v>
      </c>
      <c r="N453" s="219" t="s">
        <v>272</v>
      </c>
      <c r="O453" s="219" t="s">
        <v>312</v>
      </c>
      <c r="P453" s="93" t="s">
        <v>1060</v>
      </c>
      <c r="R453" s="81"/>
      <c r="S453" s="82"/>
      <c r="T453" s="81"/>
      <c r="W453" s="50" t="str">
        <f t="array" ref="W453">IF($V$2=0,"",IFERROR(INDEX($B$3:$C$520,SMALL(IF($B$3:$B$520=$V$2,ROW($B$3:$B$520)-2),ROW(B449)),2),""))</f>
        <v/>
      </c>
    </row>
    <row r="454" spans="2:23">
      <c r="B454" s="24" t="s">
        <v>321</v>
      </c>
      <c r="C454" s="24" t="s">
        <v>364</v>
      </c>
      <c r="N454" s="219" t="s">
        <v>272</v>
      </c>
      <c r="O454" s="219" t="s">
        <v>313</v>
      </c>
      <c r="P454" s="93" t="s">
        <v>1060</v>
      </c>
      <c r="R454" s="81"/>
      <c r="S454" s="82"/>
      <c r="T454" s="81"/>
      <c r="W454" s="50" t="str">
        <f t="array" ref="W454">IF($V$2=0,"",IFERROR(INDEX($B$3:$C$520,SMALL(IF($B$3:$B$520=$V$2,ROW($B$3:$B$520)-2),ROW(B450)),2),""))</f>
        <v/>
      </c>
    </row>
    <row r="455" spans="2:23">
      <c r="B455" s="24" t="s">
        <v>321</v>
      </c>
      <c r="C455" s="24" t="s">
        <v>365</v>
      </c>
      <c r="N455" s="219" t="s">
        <v>272</v>
      </c>
      <c r="O455" s="219" t="s">
        <v>314</v>
      </c>
      <c r="P455" s="93" t="s">
        <v>1060</v>
      </c>
      <c r="R455" s="81"/>
      <c r="S455" s="82"/>
      <c r="T455" s="81"/>
      <c r="W455" s="50" t="str">
        <f t="array" ref="W455">IF($V$2=0,"",IFERROR(INDEX($B$3:$C$520,SMALL(IF($B$3:$B$520=$V$2,ROW($B$3:$B$520)-2),ROW(B451)),2),""))</f>
        <v/>
      </c>
    </row>
    <row r="456" spans="2:23">
      <c r="B456" s="24" t="s">
        <v>321</v>
      </c>
      <c r="C456" s="24" t="s">
        <v>768</v>
      </c>
      <c r="N456" s="219" t="s">
        <v>272</v>
      </c>
      <c r="O456" s="219" t="s">
        <v>315</v>
      </c>
      <c r="P456" s="93" t="s">
        <v>1060</v>
      </c>
      <c r="R456" s="81"/>
      <c r="S456" s="82"/>
      <c r="T456" s="81"/>
      <c r="W456" s="50" t="str">
        <f t="array" ref="W456">IF($V$2=0,"",IFERROR(INDEX($B$3:$C$520,SMALL(IF($B$3:$B$520=$V$2,ROW($B$3:$B$520)-2),ROW(B452)),2),""))</f>
        <v/>
      </c>
    </row>
    <row r="457" spans="2:23">
      <c r="B457" s="24" t="s">
        <v>321</v>
      </c>
      <c r="C457" s="24" t="s">
        <v>769</v>
      </c>
      <c r="N457" s="219" t="s">
        <v>272</v>
      </c>
      <c r="O457" s="219" t="s">
        <v>316</v>
      </c>
      <c r="P457" s="93" t="s">
        <v>1060</v>
      </c>
      <c r="R457" s="81"/>
      <c r="S457" s="82"/>
      <c r="T457" s="81"/>
      <c r="W457" s="50" t="str">
        <f t="array" ref="W457">IF($V$2=0,"",IFERROR(INDEX($B$3:$C$520,SMALL(IF($B$3:$B$520=$V$2,ROW($B$3:$B$520)-2),ROW(B453)),2),""))</f>
        <v/>
      </c>
    </row>
    <row r="458" spans="2:23">
      <c r="B458" s="24" t="s">
        <v>321</v>
      </c>
      <c r="C458" s="24" t="s">
        <v>770</v>
      </c>
      <c r="N458" s="219" t="s">
        <v>272</v>
      </c>
      <c r="O458" s="219" t="s">
        <v>317</v>
      </c>
      <c r="P458" s="93" t="s">
        <v>1060</v>
      </c>
      <c r="R458" s="81"/>
      <c r="S458" s="82"/>
      <c r="T458" s="81"/>
      <c r="W458" s="50" t="str">
        <f t="array" ref="W458">IF($V$2=0,"",IFERROR(INDEX($B$3:$C$520,SMALL(IF($B$3:$B$520=$V$2,ROW($B$3:$B$520)-2),ROW(B454)),2),""))</f>
        <v/>
      </c>
    </row>
    <row r="459" spans="2:23">
      <c r="B459" s="24" t="s">
        <v>321</v>
      </c>
      <c r="C459" s="24" t="s">
        <v>778</v>
      </c>
      <c r="N459" s="219" t="s">
        <v>272</v>
      </c>
      <c r="O459" s="219" t="s">
        <v>318</v>
      </c>
      <c r="P459" s="93" t="s">
        <v>1060</v>
      </c>
      <c r="R459" s="81"/>
      <c r="S459" s="82"/>
      <c r="T459" s="81"/>
      <c r="W459" s="50" t="str">
        <f t="array" ref="W459">IF($V$2=0,"",IFERROR(INDEX($B$3:$C$520,SMALL(IF($B$3:$B$520=$V$2,ROW($B$3:$B$520)-2),ROW(B455)),2),""))</f>
        <v/>
      </c>
    </row>
    <row r="460" spans="2:23">
      <c r="B460" s="24" t="s">
        <v>321</v>
      </c>
      <c r="C460" s="24" t="s">
        <v>779</v>
      </c>
      <c r="N460" s="219" t="s">
        <v>272</v>
      </c>
      <c r="O460" s="219" t="s">
        <v>319</v>
      </c>
      <c r="P460" s="93" t="s">
        <v>1060</v>
      </c>
      <c r="R460" s="81"/>
      <c r="S460" s="82"/>
      <c r="T460" s="81"/>
      <c r="W460" s="50" t="str">
        <f t="array" ref="W460">IF($V$2=0,"",IFERROR(INDEX($B$3:$C$520,SMALL(IF($B$3:$B$520=$V$2,ROW($B$3:$B$520)-2),ROW(B456)),2),""))</f>
        <v/>
      </c>
    </row>
    <row r="461" spans="2:23">
      <c r="B461" s="24" t="s">
        <v>321</v>
      </c>
      <c r="C461" s="24" t="s">
        <v>834</v>
      </c>
      <c r="N461" s="219" t="s">
        <v>272</v>
      </c>
      <c r="O461" s="219" t="s">
        <v>320</v>
      </c>
      <c r="P461" s="93" t="s">
        <v>1060</v>
      </c>
      <c r="R461" s="81"/>
      <c r="S461" s="82"/>
      <c r="T461" s="81"/>
      <c r="W461" s="50" t="str">
        <f t="array" ref="W461">IF($V$2=0,"",IFERROR(INDEX($B$3:$C$520,SMALL(IF($B$3:$B$520=$V$2,ROW($B$3:$B$520)-2),ROW(B457)),2),""))</f>
        <v/>
      </c>
    </row>
    <row r="462" spans="2:23">
      <c r="B462" s="24" t="s">
        <v>321</v>
      </c>
      <c r="C462" s="24" t="s">
        <v>1037</v>
      </c>
      <c r="N462" s="219" t="s">
        <v>272</v>
      </c>
      <c r="O462" s="219" t="s">
        <v>771</v>
      </c>
      <c r="P462" s="93" t="s">
        <v>1060</v>
      </c>
      <c r="R462" s="81"/>
      <c r="S462" s="82"/>
      <c r="T462" s="81"/>
      <c r="W462" s="50" t="str">
        <f t="array" ref="W462">IF($V$2=0,"",IFERROR(INDEX($B$3:$C$520,SMALL(IF($B$3:$B$520=$V$2,ROW($B$3:$B$520)-2),ROW(B458)),2),""))</f>
        <v/>
      </c>
    </row>
    <row r="463" spans="2:23">
      <c r="B463" s="24" t="s">
        <v>321</v>
      </c>
      <c r="C463" s="24" t="s">
        <v>1033</v>
      </c>
      <c r="N463" s="219" t="s">
        <v>272</v>
      </c>
      <c r="O463" s="219" t="s">
        <v>826</v>
      </c>
      <c r="P463" s="93" t="s">
        <v>1060</v>
      </c>
      <c r="R463" s="81"/>
      <c r="S463" s="82"/>
      <c r="T463" s="81"/>
      <c r="W463" s="50" t="str">
        <f t="array" ref="W463">IF($V$2=0,"",IFERROR(INDEX($B$3:$C$520,SMALL(IF($B$3:$B$520=$V$2,ROW($B$3:$B$520)-2),ROW(B459)),2),""))</f>
        <v/>
      </c>
    </row>
    <row r="464" spans="2:23">
      <c r="B464" s="24" t="s">
        <v>321</v>
      </c>
      <c r="C464" s="24" t="s">
        <v>1035</v>
      </c>
      <c r="N464" s="219" t="s">
        <v>272</v>
      </c>
      <c r="O464" s="219" t="s">
        <v>827</v>
      </c>
      <c r="P464" s="93" t="s">
        <v>1060</v>
      </c>
      <c r="R464" s="81"/>
      <c r="S464" s="82"/>
      <c r="T464" s="81"/>
      <c r="W464" s="50" t="str">
        <f t="array" ref="W464">IF($V$2=0,"",IFERROR(INDEX($B$3:$C$520,SMALL(IF($B$3:$B$520=$V$2,ROW($B$3:$B$520)-2),ROW(B460)),2),""))</f>
        <v/>
      </c>
    </row>
    <row r="465" spans="2:23">
      <c r="B465" s="24" t="s">
        <v>321</v>
      </c>
      <c r="C465" s="24" t="s">
        <v>1036</v>
      </c>
      <c r="N465" s="219" t="s">
        <v>272</v>
      </c>
      <c r="O465" s="219" t="s">
        <v>828</v>
      </c>
      <c r="P465" s="93" t="s">
        <v>1060</v>
      </c>
      <c r="R465" s="81"/>
      <c r="S465" s="82"/>
      <c r="T465" s="81"/>
      <c r="W465" s="50" t="str">
        <f t="array" ref="W465">IF($V$2=0,"",IFERROR(INDEX($B$3:$C$520,SMALL(IF($B$3:$B$520=$V$2,ROW($B$3:$B$520)-2),ROW(B461)),2),""))</f>
        <v/>
      </c>
    </row>
    <row r="466" spans="2:23">
      <c r="B466" s="24" t="s">
        <v>321</v>
      </c>
      <c r="C466" s="24" t="s">
        <v>1034</v>
      </c>
      <c r="N466" s="219" t="s">
        <v>272</v>
      </c>
      <c r="O466" s="219" t="s">
        <v>829</v>
      </c>
      <c r="P466" s="93" t="s">
        <v>1060</v>
      </c>
      <c r="R466" s="81"/>
      <c r="S466" s="82"/>
      <c r="T466" s="81"/>
      <c r="W466" s="50" t="str">
        <f t="array" ref="W466">IF($V$2=0,"",IFERROR(INDEX($B$3:$C$520,SMALL(IF($B$3:$B$520=$V$2,ROW($B$3:$B$520)-2),ROW(B462)),2),""))</f>
        <v/>
      </c>
    </row>
    <row r="467" spans="2:23">
      <c r="B467" s="24" t="s">
        <v>321</v>
      </c>
      <c r="C467" s="24" t="s">
        <v>366</v>
      </c>
      <c r="N467" s="219" t="s">
        <v>272</v>
      </c>
      <c r="O467" s="219" t="s">
        <v>830</v>
      </c>
      <c r="P467" s="93" t="s">
        <v>1060</v>
      </c>
      <c r="R467" s="81"/>
      <c r="S467" s="82"/>
      <c r="T467" s="81"/>
      <c r="W467" s="50" t="str">
        <f t="array" ref="W467">IF($V$2=0,"",IFERROR(INDEX($B$3:$C$520,SMALL(IF($B$3:$B$520=$V$2,ROW($B$3:$B$520)-2),ROW(B463)),2),""))</f>
        <v/>
      </c>
    </row>
    <row r="468" spans="2:23">
      <c r="B468" s="24" t="s">
        <v>321</v>
      </c>
      <c r="C468" s="24" t="s">
        <v>367</v>
      </c>
      <c r="N468" s="219" t="s">
        <v>272</v>
      </c>
      <c r="O468" s="219" t="s">
        <v>831</v>
      </c>
      <c r="P468" s="93" t="s">
        <v>1060</v>
      </c>
      <c r="R468" s="81"/>
      <c r="S468" s="82"/>
      <c r="T468" s="81"/>
      <c r="W468" s="50" t="str">
        <f t="array" ref="W468">IF($V$2=0,"",IFERROR(INDEX($B$3:$C$520,SMALL(IF($B$3:$B$520=$V$2,ROW($B$3:$B$520)-2),ROW(B464)),2),""))</f>
        <v/>
      </c>
    </row>
    <row r="469" spans="2:23">
      <c r="B469" s="24" t="s">
        <v>321</v>
      </c>
      <c r="C469" s="24" t="s">
        <v>368</v>
      </c>
      <c r="N469" s="219" t="s">
        <v>272</v>
      </c>
      <c r="O469" s="219" t="s">
        <v>832</v>
      </c>
      <c r="P469" s="93" t="s">
        <v>1060</v>
      </c>
      <c r="R469" s="81"/>
      <c r="S469" s="82"/>
      <c r="T469" s="81"/>
      <c r="W469" s="50" t="str">
        <f t="array" ref="W469">IF($V$2=0,"",IFERROR(INDEX($B$3:$C$520,SMALL(IF($B$3:$B$520=$V$2,ROW($B$3:$B$520)-2),ROW(B465)),2),""))</f>
        <v/>
      </c>
    </row>
    <row r="470" spans="2:23">
      <c r="B470" s="24" t="s">
        <v>321</v>
      </c>
      <c r="C470" s="24" t="s">
        <v>369</v>
      </c>
      <c r="N470" s="219" t="s">
        <v>272</v>
      </c>
      <c r="O470" s="219" t="s">
        <v>833</v>
      </c>
      <c r="P470" s="93" t="s">
        <v>1060</v>
      </c>
      <c r="R470" s="81"/>
      <c r="S470" s="82"/>
      <c r="T470" s="81"/>
      <c r="W470" s="50" t="str">
        <f t="array" ref="W470">IF($V$2=0,"",IFERROR(INDEX($B$3:$C$520,SMALL(IF($B$3:$B$520=$V$2,ROW($B$3:$B$520)-2),ROW(B466)),2),""))</f>
        <v/>
      </c>
    </row>
    <row r="471" spans="2:23">
      <c r="B471" s="24" t="s">
        <v>321</v>
      </c>
      <c r="C471" s="24" t="s">
        <v>370</v>
      </c>
      <c r="N471" s="219" t="s">
        <v>272</v>
      </c>
      <c r="O471" s="219" t="s">
        <v>851</v>
      </c>
      <c r="P471" s="93" t="s">
        <v>1060</v>
      </c>
      <c r="R471" s="81"/>
      <c r="S471" s="82"/>
      <c r="T471" s="81"/>
      <c r="W471" s="50" t="str">
        <f t="array" ref="W471">IF($V$2=0,"",IFERROR(INDEX($B$3:$C$520,SMALL(IF($B$3:$B$520=$V$2,ROW($B$3:$B$520)-2),ROW(B467)),2),""))</f>
        <v/>
      </c>
    </row>
    <row r="472" spans="2:23">
      <c r="B472" s="24" t="s">
        <v>321</v>
      </c>
      <c r="C472" s="24" t="s">
        <v>371</v>
      </c>
      <c r="N472" s="219" t="s">
        <v>272</v>
      </c>
      <c r="O472" s="219" t="s">
        <v>852</v>
      </c>
      <c r="P472" s="93" t="s">
        <v>1060</v>
      </c>
      <c r="R472" s="81"/>
      <c r="S472" s="82"/>
      <c r="T472" s="81"/>
      <c r="W472" s="50" t="str">
        <f t="array" ref="W472">IF($V$2=0,"",IFERROR(INDEX($B$3:$C$520,SMALL(IF($B$3:$B$520=$V$2,ROW($B$3:$B$520)-2),ROW(B468)),2),""))</f>
        <v/>
      </c>
    </row>
    <row r="473" spans="2:23">
      <c r="B473" s="24" t="s">
        <v>321</v>
      </c>
      <c r="C473" s="24" t="s">
        <v>372</v>
      </c>
      <c r="N473" s="219" t="s">
        <v>272</v>
      </c>
      <c r="O473" s="219" t="s">
        <v>853</v>
      </c>
      <c r="P473" s="93" t="s">
        <v>1060</v>
      </c>
      <c r="R473" s="81"/>
      <c r="S473" s="82"/>
      <c r="T473" s="81"/>
      <c r="W473" s="50" t="str">
        <f t="array" ref="W473">IF($V$2=0,"",IFERROR(INDEX($B$3:$C$520,SMALL(IF($B$3:$B$520=$V$2,ROW($B$3:$B$520)-2),ROW(B469)),2),""))</f>
        <v/>
      </c>
    </row>
    <row r="474" spans="2:23">
      <c r="B474" s="24" t="s">
        <v>321</v>
      </c>
      <c r="C474" s="24" t="s">
        <v>373</v>
      </c>
      <c r="N474" s="219" t="s">
        <v>272</v>
      </c>
      <c r="O474" s="219" t="s">
        <v>854</v>
      </c>
      <c r="P474" s="93" t="s">
        <v>1060</v>
      </c>
      <c r="R474" s="81"/>
      <c r="S474" s="82"/>
      <c r="T474" s="81"/>
      <c r="W474" s="50" t="str">
        <f t="array" ref="W474">IF($V$2=0,"",IFERROR(INDEX($B$3:$C$520,SMALL(IF($B$3:$B$520=$V$2,ROW($B$3:$B$520)-2),ROW(B470)),2),""))</f>
        <v/>
      </c>
    </row>
    <row r="475" spans="2:23">
      <c r="B475" s="24" t="s">
        <v>321</v>
      </c>
      <c r="C475" s="24" t="s">
        <v>374</v>
      </c>
      <c r="N475" s="219" t="s">
        <v>272</v>
      </c>
      <c r="O475" s="219" t="s">
        <v>855</v>
      </c>
      <c r="P475" s="93" t="s">
        <v>1060</v>
      </c>
      <c r="R475" s="81"/>
      <c r="S475" s="82"/>
      <c r="T475" s="81"/>
      <c r="W475" s="50" t="str">
        <f t="array" ref="W475">IF($V$2=0,"",IFERROR(INDEX($B$3:$C$520,SMALL(IF($B$3:$B$520=$V$2,ROW($B$3:$B$520)-2),ROW(B471)),2),""))</f>
        <v/>
      </c>
    </row>
    <row r="476" spans="2:23">
      <c r="B476" s="24" t="s">
        <v>321</v>
      </c>
      <c r="C476" s="24" t="s">
        <v>375</v>
      </c>
      <c r="N476" s="219" t="s">
        <v>272</v>
      </c>
      <c r="O476" s="219" t="s">
        <v>856</v>
      </c>
      <c r="P476" s="93" t="s">
        <v>1060</v>
      </c>
      <c r="R476" s="81"/>
      <c r="S476" s="82"/>
      <c r="T476" s="81"/>
      <c r="W476" s="50" t="str">
        <f t="array" ref="W476">IF($V$2=0,"",IFERROR(INDEX($B$3:$C$520,SMALL(IF($B$3:$B$520=$V$2,ROW($B$3:$B$520)-2),ROW(B472)),2),""))</f>
        <v/>
      </c>
    </row>
    <row r="477" spans="2:23">
      <c r="B477" s="24" t="s">
        <v>321</v>
      </c>
      <c r="C477" s="24" t="s">
        <v>376</v>
      </c>
      <c r="N477" s="219" t="s">
        <v>272</v>
      </c>
      <c r="O477" s="219" t="s">
        <v>1038</v>
      </c>
      <c r="P477" s="93" t="s">
        <v>1060</v>
      </c>
      <c r="R477" s="81"/>
      <c r="S477" s="82"/>
      <c r="T477" s="81"/>
      <c r="W477" s="50" t="str">
        <f t="array" ref="W477">IF($V$2=0,"",IFERROR(INDEX($B$3:$C$520,SMALL(IF($B$3:$B$520=$V$2,ROW($B$3:$B$520)-2),ROW(B473)),2),""))</f>
        <v/>
      </c>
    </row>
    <row r="478" spans="2:23">
      <c r="B478" s="24" t="s">
        <v>321</v>
      </c>
      <c r="C478" s="24" t="s">
        <v>377</v>
      </c>
      <c r="N478" s="219" t="s">
        <v>272</v>
      </c>
      <c r="O478" s="219" t="s">
        <v>323</v>
      </c>
      <c r="P478" s="93" t="s">
        <v>1060</v>
      </c>
      <c r="R478" s="81"/>
      <c r="S478" s="82"/>
      <c r="T478" s="81"/>
    </row>
    <row r="479" spans="2:23">
      <c r="B479" s="24" t="s">
        <v>321</v>
      </c>
      <c r="C479" s="24" t="s">
        <v>378</v>
      </c>
      <c r="N479" s="219" t="s">
        <v>272</v>
      </c>
      <c r="O479" s="219" t="s">
        <v>325</v>
      </c>
      <c r="P479" s="93" t="s">
        <v>1060</v>
      </c>
      <c r="R479" s="81"/>
      <c r="S479" s="82"/>
      <c r="T479" s="81"/>
    </row>
    <row r="480" spans="2:23">
      <c r="B480" s="24" t="s">
        <v>321</v>
      </c>
      <c r="C480" s="24" t="s">
        <v>379</v>
      </c>
      <c r="N480" s="219" t="s">
        <v>272</v>
      </c>
      <c r="O480" s="219" t="s">
        <v>330</v>
      </c>
      <c r="P480" s="93" t="s">
        <v>1060</v>
      </c>
      <c r="R480" s="81"/>
      <c r="S480" s="82"/>
      <c r="T480" s="81"/>
    </row>
    <row r="481" spans="2:20">
      <c r="B481" s="24" t="s">
        <v>60</v>
      </c>
      <c r="C481" s="24" t="s">
        <v>434</v>
      </c>
      <c r="N481" s="219" t="s">
        <v>272</v>
      </c>
      <c r="O481" s="219" t="s">
        <v>339</v>
      </c>
      <c r="P481" s="93" t="s">
        <v>1060</v>
      </c>
      <c r="R481" s="81"/>
      <c r="S481" s="82"/>
      <c r="T481" s="81"/>
    </row>
    <row r="482" spans="2:20">
      <c r="B482" s="24" t="s">
        <v>60</v>
      </c>
      <c r="C482" s="24" t="s">
        <v>19</v>
      </c>
      <c r="N482" s="219" t="s">
        <v>272</v>
      </c>
      <c r="O482" s="219" t="s">
        <v>768</v>
      </c>
      <c r="P482" s="93" t="s">
        <v>1060</v>
      </c>
      <c r="R482" s="81"/>
      <c r="S482" s="82"/>
      <c r="T482" s="81"/>
    </row>
    <row r="483" spans="2:20">
      <c r="B483" s="24" t="s">
        <v>60</v>
      </c>
      <c r="C483" s="24" t="s">
        <v>730</v>
      </c>
      <c r="N483" s="219" t="s">
        <v>272</v>
      </c>
      <c r="O483" s="219" t="s">
        <v>769</v>
      </c>
      <c r="P483" s="93" t="s">
        <v>1060</v>
      </c>
      <c r="R483" s="81"/>
      <c r="S483" s="82"/>
      <c r="T483" s="81"/>
    </row>
    <row r="484" spans="2:20">
      <c r="B484" s="240" t="s">
        <v>60</v>
      </c>
      <c r="C484" s="240" t="s">
        <v>1061</v>
      </c>
      <c r="N484" s="219" t="s">
        <v>272</v>
      </c>
      <c r="O484" s="219" t="s">
        <v>778</v>
      </c>
      <c r="P484" s="93" t="s">
        <v>1060</v>
      </c>
      <c r="R484" s="81"/>
      <c r="S484" s="82"/>
      <c r="T484" s="81"/>
    </row>
    <row r="485" spans="2:20">
      <c r="B485" s="24" t="s">
        <v>92</v>
      </c>
      <c r="C485" s="24" t="s">
        <v>434</v>
      </c>
      <c r="N485" s="219" t="s">
        <v>272</v>
      </c>
      <c r="O485" s="219" t="s">
        <v>779</v>
      </c>
      <c r="P485" s="93" t="s">
        <v>1060</v>
      </c>
      <c r="R485" s="81"/>
      <c r="S485" s="82"/>
      <c r="T485" s="81"/>
    </row>
    <row r="486" spans="2:20">
      <c r="B486" s="24" t="s">
        <v>92</v>
      </c>
      <c r="C486" s="24" t="s">
        <v>19</v>
      </c>
      <c r="N486" s="219" t="s">
        <v>272</v>
      </c>
      <c r="O486" s="219" t="s">
        <v>366</v>
      </c>
      <c r="P486" s="93" t="s">
        <v>1060</v>
      </c>
      <c r="R486" s="81"/>
      <c r="S486" s="82"/>
      <c r="T486" s="81"/>
    </row>
    <row r="487" spans="2:20">
      <c r="B487" s="24" t="s">
        <v>92</v>
      </c>
      <c r="C487" s="24" t="s">
        <v>730</v>
      </c>
      <c r="N487" s="219" t="s">
        <v>272</v>
      </c>
      <c r="O487" s="219" t="s">
        <v>367</v>
      </c>
      <c r="P487" s="93" t="s">
        <v>1060</v>
      </c>
      <c r="R487" s="81"/>
      <c r="S487" s="82"/>
      <c r="T487" s="81"/>
    </row>
    <row r="488" spans="2:20">
      <c r="B488" s="240" t="s">
        <v>92</v>
      </c>
      <c r="C488" s="240" t="s">
        <v>1061</v>
      </c>
      <c r="N488" s="219" t="s">
        <v>272</v>
      </c>
      <c r="O488" s="219" t="s">
        <v>368</v>
      </c>
      <c r="P488" s="93" t="s">
        <v>1060</v>
      </c>
      <c r="R488" s="81"/>
      <c r="S488" s="82"/>
      <c r="T488" s="81"/>
    </row>
    <row r="489" spans="2:20">
      <c r="B489" s="24" t="s">
        <v>132</v>
      </c>
      <c r="C489" s="24" t="s">
        <v>434</v>
      </c>
      <c r="N489" s="219" t="s">
        <v>272</v>
      </c>
      <c r="O489" s="219" t="s">
        <v>369</v>
      </c>
      <c r="P489" s="93" t="s">
        <v>1060</v>
      </c>
      <c r="R489" s="81"/>
      <c r="S489" s="82"/>
      <c r="T489" s="81"/>
    </row>
    <row r="490" spans="2:20">
      <c r="B490" s="24" t="s">
        <v>132</v>
      </c>
      <c r="C490" s="24" t="s">
        <v>130</v>
      </c>
      <c r="N490" s="219" t="s">
        <v>272</v>
      </c>
      <c r="O490" s="219" t="s">
        <v>370</v>
      </c>
      <c r="P490" s="93" t="s">
        <v>1060</v>
      </c>
      <c r="R490" s="81"/>
      <c r="S490" s="82"/>
      <c r="T490" s="81"/>
    </row>
    <row r="491" spans="2:20">
      <c r="B491" s="24" t="s">
        <v>132</v>
      </c>
      <c r="C491" s="24" t="s">
        <v>730</v>
      </c>
      <c r="N491" s="219" t="s">
        <v>272</v>
      </c>
      <c r="O491" s="219" t="s">
        <v>371</v>
      </c>
      <c r="P491" s="93" t="s">
        <v>1060</v>
      </c>
      <c r="R491" s="81"/>
      <c r="S491" s="82"/>
      <c r="T491" s="81"/>
    </row>
    <row r="492" spans="2:20">
      <c r="B492" s="24" t="s">
        <v>131</v>
      </c>
      <c r="C492" s="24" t="s">
        <v>434</v>
      </c>
      <c r="N492" s="219" t="s">
        <v>272</v>
      </c>
      <c r="O492" s="219" t="s">
        <v>372</v>
      </c>
      <c r="P492" s="93" t="s">
        <v>1060</v>
      </c>
      <c r="R492" s="81"/>
      <c r="S492" s="82"/>
      <c r="T492" s="81"/>
    </row>
    <row r="493" spans="2:20">
      <c r="B493" s="24" t="s">
        <v>131</v>
      </c>
      <c r="C493" s="24" t="s">
        <v>19</v>
      </c>
      <c r="N493" s="219" t="s">
        <v>272</v>
      </c>
      <c r="O493" s="219" t="s">
        <v>373</v>
      </c>
      <c r="P493" s="93" t="s">
        <v>1060</v>
      </c>
      <c r="R493" s="81"/>
      <c r="S493" s="82"/>
      <c r="T493" s="81"/>
    </row>
    <row r="494" spans="2:20">
      <c r="B494" s="24" t="s">
        <v>131</v>
      </c>
      <c r="C494" s="24" t="s">
        <v>730</v>
      </c>
      <c r="N494" s="219" t="s">
        <v>272</v>
      </c>
      <c r="O494" s="219" t="s">
        <v>374</v>
      </c>
      <c r="P494" s="93" t="s">
        <v>1060</v>
      </c>
      <c r="R494" s="81"/>
      <c r="S494" s="82"/>
      <c r="T494" s="81"/>
    </row>
    <row r="495" spans="2:20">
      <c r="B495" s="240" t="s">
        <v>131</v>
      </c>
      <c r="C495" s="240" t="s">
        <v>1061</v>
      </c>
      <c r="N495" s="219" t="s">
        <v>272</v>
      </c>
      <c r="O495" s="219" t="s">
        <v>375</v>
      </c>
      <c r="P495" s="93" t="s">
        <v>1060</v>
      </c>
      <c r="R495" s="81"/>
      <c r="S495" s="82"/>
      <c r="T495" s="81"/>
    </row>
    <row r="496" spans="2:20">
      <c r="B496" s="24" t="s">
        <v>161</v>
      </c>
      <c r="C496" s="24" t="s">
        <v>434</v>
      </c>
      <c r="N496" s="219" t="s">
        <v>272</v>
      </c>
      <c r="O496" s="219" t="s">
        <v>376</v>
      </c>
      <c r="P496" s="93" t="s">
        <v>1060</v>
      </c>
      <c r="R496" s="81"/>
      <c r="S496" s="82"/>
      <c r="T496" s="81"/>
    </row>
    <row r="497" spans="2:20">
      <c r="B497" s="24" t="s">
        <v>161</v>
      </c>
      <c r="C497" s="24" t="s">
        <v>19</v>
      </c>
      <c r="N497" s="219" t="s">
        <v>272</v>
      </c>
      <c r="O497" s="219" t="s">
        <v>377</v>
      </c>
      <c r="P497" s="93" t="s">
        <v>1060</v>
      </c>
      <c r="R497" s="81"/>
      <c r="S497" s="82"/>
      <c r="T497" s="81"/>
    </row>
    <row r="498" spans="2:20">
      <c r="B498" s="24" t="s">
        <v>161</v>
      </c>
      <c r="C498" s="24" t="s">
        <v>730</v>
      </c>
      <c r="N498" s="219" t="s">
        <v>272</v>
      </c>
      <c r="O498" s="219" t="s">
        <v>378</v>
      </c>
      <c r="P498" s="93" t="s">
        <v>1060</v>
      </c>
      <c r="R498" s="81"/>
      <c r="S498" s="82"/>
      <c r="T498" s="81"/>
    </row>
    <row r="499" spans="2:20">
      <c r="B499" s="24" t="s">
        <v>163</v>
      </c>
      <c r="C499" s="24" t="s">
        <v>434</v>
      </c>
      <c r="N499" s="219" t="s">
        <v>272</v>
      </c>
      <c r="O499" s="219" t="s">
        <v>379</v>
      </c>
      <c r="P499" s="93" t="s">
        <v>1060</v>
      </c>
      <c r="R499" s="81"/>
      <c r="S499" s="82"/>
      <c r="T499" s="81"/>
    </row>
    <row r="500" spans="2:20">
      <c r="B500" s="24" t="s">
        <v>163</v>
      </c>
      <c r="C500" s="24" t="s">
        <v>19</v>
      </c>
      <c r="R500" s="81"/>
      <c r="S500" s="82"/>
      <c r="T500" s="81"/>
    </row>
    <row r="501" spans="2:20">
      <c r="B501" s="24" t="s">
        <v>163</v>
      </c>
      <c r="C501" s="24" t="s">
        <v>730</v>
      </c>
      <c r="R501" s="81"/>
      <c r="S501" s="82"/>
      <c r="T501" s="81"/>
    </row>
    <row r="502" spans="2:20">
      <c r="B502" s="240" t="s">
        <v>163</v>
      </c>
      <c r="C502" s="240" t="s">
        <v>1061</v>
      </c>
      <c r="R502" s="81"/>
      <c r="S502" s="82"/>
      <c r="T502" s="81"/>
    </row>
    <row r="503" spans="2:20">
      <c r="B503" s="24" t="s">
        <v>197</v>
      </c>
      <c r="C503" s="24" t="s">
        <v>434</v>
      </c>
      <c r="R503" s="81"/>
      <c r="S503" s="82"/>
      <c r="T503" s="81"/>
    </row>
    <row r="504" spans="2:20">
      <c r="B504" s="24" t="s">
        <v>197</v>
      </c>
      <c r="C504" s="24" t="s">
        <v>19</v>
      </c>
      <c r="R504" s="81"/>
      <c r="S504" s="82"/>
      <c r="T504" s="81"/>
    </row>
    <row r="505" spans="2:20">
      <c r="B505" s="24" t="s">
        <v>197</v>
      </c>
      <c r="C505" s="24" t="s">
        <v>730</v>
      </c>
      <c r="R505" s="81"/>
      <c r="S505" s="82"/>
      <c r="T505" s="81"/>
    </row>
    <row r="506" spans="2:20">
      <c r="B506" s="240" t="s">
        <v>197</v>
      </c>
      <c r="C506" s="240" t="s">
        <v>1061</v>
      </c>
      <c r="R506" s="81"/>
      <c r="S506" s="82"/>
      <c r="T506" s="81"/>
    </row>
    <row r="507" spans="2:20">
      <c r="B507" s="24" t="s">
        <v>272</v>
      </c>
      <c r="C507" s="24" t="s">
        <v>434</v>
      </c>
      <c r="R507" s="81"/>
      <c r="S507" s="82"/>
      <c r="T507" s="81"/>
    </row>
    <row r="508" spans="2:20">
      <c r="B508" s="24" t="s">
        <v>272</v>
      </c>
      <c r="C508" s="24" t="s">
        <v>19</v>
      </c>
      <c r="R508" s="81"/>
      <c r="S508" s="82"/>
      <c r="T508" s="81"/>
    </row>
    <row r="509" spans="2:20">
      <c r="B509" s="24" t="s">
        <v>272</v>
      </c>
      <c r="C509" s="24" t="s">
        <v>730</v>
      </c>
      <c r="R509" s="81"/>
      <c r="S509" s="82"/>
      <c r="T509" s="81"/>
    </row>
    <row r="510" spans="2:20">
      <c r="B510" s="240" t="s">
        <v>272</v>
      </c>
      <c r="C510" s="240" t="s">
        <v>1061</v>
      </c>
      <c r="R510" s="81"/>
      <c r="S510" s="82"/>
      <c r="T510" s="81"/>
    </row>
    <row r="511" spans="2:20">
      <c r="B511" s="24" t="s">
        <v>273</v>
      </c>
      <c r="C511" s="24" t="s">
        <v>434</v>
      </c>
      <c r="R511" s="81"/>
      <c r="S511" s="82"/>
      <c r="T511" s="81"/>
    </row>
    <row r="512" spans="2:20">
      <c r="B512" s="24" t="s">
        <v>273</v>
      </c>
      <c r="C512" s="24" t="s">
        <v>19</v>
      </c>
      <c r="R512" s="81"/>
      <c r="S512" s="82"/>
      <c r="T512" s="81"/>
    </row>
    <row r="513" spans="2:20">
      <c r="B513" s="24" t="s">
        <v>273</v>
      </c>
      <c r="C513" s="24" t="s">
        <v>730</v>
      </c>
      <c r="R513" s="81"/>
      <c r="S513" s="82"/>
      <c r="T513" s="81"/>
    </row>
    <row r="514" spans="2:20">
      <c r="B514" s="240" t="s">
        <v>273</v>
      </c>
      <c r="C514" s="240" t="s">
        <v>1061</v>
      </c>
      <c r="R514" s="81"/>
      <c r="S514" s="82"/>
      <c r="T514" s="81"/>
    </row>
    <row r="515" spans="2:20">
      <c r="B515" s="24" t="s">
        <v>321</v>
      </c>
      <c r="C515" s="24" t="s">
        <v>434</v>
      </c>
      <c r="R515" s="81"/>
      <c r="S515" s="82"/>
      <c r="T515" s="81"/>
    </row>
    <row r="516" spans="2:20">
      <c r="B516" s="24" t="s">
        <v>321</v>
      </c>
      <c r="C516" s="24" t="s">
        <v>19</v>
      </c>
      <c r="R516" s="81"/>
      <c r="S516" s="82"/>
      <c r="T516" s="81"/>
    </row>
    <row r="517" spans="2:20">
      <c r="B517" s="24" t="s">
        <v>321</v>
      </c>
      <c r="C517" s="24" t="s">
        <v>730</v>
      </c>
      <c r="R517" s="81"/>
      <c r="S517" s="82"/>
      <c r="T517" s="81"/>
    </row>
    <row r="518" spans="2:20">
      <c r="B518" s="24" t="s">
        <v>384</v>
      </c>
      <c r="C518" s="24" t="s">
        <v>434</v>
      </c>
      <c r="R518" s="81"/>
      <c r="S518" s="82"/>
      <c r="T518" s="81"/>
    </row>
    <row r="519" spans="2:20">
      <c r="B519" s="24" t="s">
        <v>384</v>
      </c>
      <c r="C519" s="24" t="s">
        <v>19</v>
      </c>
      <c r="R519" s="81"/>
      <c r="S519" s="82"/>
      <c r="T519" s="81"/>
    </row>
    <row r="520" spans="2:20">
      <c r="B520" s="24" t="s">
        <v>384</v>
      </c>
      <c r="C520" s="24" t="s">
        <v>730</v>
      </c>
      <c r="R520" s="81"/>
      <c r="S520" s="82"/>
      <c r="T520" s="81"/>
    </row>
    <row r="521" spans="2:20">
      <c r="R521" s="81"/>
      <c r="S521" s="82"/>
      <c r="T521" s="81"/>
    </row>
    <row r="522" spans="2:20">
      <c r="R522" s="81"/>
      <c r="S522" s="82"/>
      <c r="T522" s="81"/>
    </row>
    <row r="523" spans="2:20">
      <c r="R523" s="81"/>
      <c r="S523" s="82"/>
      <c r="T523" s="81"/>
    </row>
    <row r="524" spans="2:20">
      <c r="R524" s="81"/>
      <c r="S524" s="82"/>
      <c r="T524" s="81"/>
    </row>
    <row r="525" spans="2:20">
      <c r="R525" s="81"/>
      <c r="S525" s="82"/>
      <c r="T525" s="81"/>
    </row>
    <row r="526" spans="2:20">
      <c r="R526" s="81"/>
      <c r="S526" s="82"/>
      <c r="T526" s="81"/>
    </row>
    <row r="527" spans="2:20">
      <c r="R527" s="81"/>
      <c r="S527" s="82"/>
      <c r="T527" s="81"/>
    </row>
    <row r="528" spans="2:20">
      <c r="R528" s="81"/>
      <c r="S528" s="82"/>
      <c r="T528" s="81"/>
    </row>
    <row r="529" spans="18:20">
      <c r="R529" s="81"/>
      <c r="S529" s="82"/>
      <c r="T529" s="81"/>
    </row>
    <row r="530" spans="18:20">
      <c r="R530" s="81"/>
      <c r="S530" s="82"/>
      <c r="T530" s="81"/>
    </row>
    <row r="531" spans="18:20">
      <c r="R531" s="81"/>
      <c r="S531" s="82"/>
      <c r="T531" s="81"/>
    </row>
    <row r="532" spans="18:20">
      <c r="R532" s="81"/>
      <c r="S532" s="82"/>
      <c r="T532" s="81"/>
    </row>
    <row r="533" spans="18:20">
      <c r="R533" s="81"/>
      <c r="S533" s="82"/>
      <c r="T533" s="81"/>
    </row>
    <row r="534" spans="18:20">
      <c r="R534" s="81"/>
      <c r="S534" s="82"/>
      <c r="T534" s="81"/>
    </row>
    <row r="535" spans="18:20">
      <c r="R535" s="81"/>
      <c r="S535" s="82"/>
      <c r="T535" s="81"/>
    </row>
    <row r="536" spans="18:20">
      <c r="R536" s="81"/>
      <c r="S536" s="82"/>
      <c r="T536" s="81"/>
    </row>
    <row r="537" spans="18:20">
      <c r="R537" s="81"/>
      <c r="S537" s="82"/>
      <c r="T537" s="81"/>
    </row>
    <row r="538" spans="18:20">
      <c r="R538" s="81"/>
      <c r="S538" s="82"/>
      <c r="T538" s="81"/>
    </row>
    <row r="539" spans="18:20">
      <c r="R539" s="81"/>
      <c r="S539" s="82"/>
      <c r="T539" s="81"/>
    </row>
    <row r="540" spans="18:20">
      <c r="R540" s="81"/>
      <c r="S540" s="82"/>
      <c r="T540" s="81"/>
    </row>
    <row r="541" spans="18:20">
      <c r="R541" s="81"/>
      <c r="S541" s="82"/>
      <c r="T541" s="81"/>
    </row>
    <row r="542" spans="18:20">
      <c r="R542" s="81"/>
      <c r="S542" s="82"/>
      <c r="T542" s="81"/>
    </row>
    <row r="543" spans="18:20">
      <c r="R543" s="81"/>
      <c r="S543" s="82"/>
      <c r="T543" s="81"/>
    </row>
    <row r="544" spans="18:20">
      <c r="R544" s="81"/>
      <c r="S544" s="82"/>
      <c r="T544" s="81"/>
    </row>
    <row r="545" spans="18:20">
      <c r="R545" s="81"/>
      <c r="S545" s="82"/>
      <c r="T545" s="81"/>
    </row>
    <row r="546" spans="18:20">
      <c r="R546" s="81"/>
      <c r="S546" s="82"/>
      <c r="T546" s="81"/>
    </row>
    <row r="547" spans="18:20">
      <c r="R547" s="81"/>
      <c r="S547" s="82"/>
      <c r="T547" s="81"/>
    </row>
    <row r="548" spans="18:20">
      <c r="R548" s="81"/>
      <c r="S548" s="82"/>
      <c r="T548" s="81"/>
    </row>
    <row r="549" spans="18:20">
      <c r="R549" s="81"/>
      <c r="S549" s="82"/>
      <c r="T549" s="81"/>
    </row>
    <row r="550" spans="18:20">
      <c r="R550" s="81"/>
      <c r="S550" s="82"/>
      <c r="T550" s="81"/>
    </row>
    <row r="551" spans="18:20">
      <c r="R551" s="81"/>
      <c r="S551" s="82"/>
      <c r="T551" s="81"/>
    </row>
    <row r="552" spans="18:20">
      <c r="R552" s="81"/>
      <c r="S552" s="82"/>
      <c r="T552" s="81"/>
    </row>
    <row r="553" spans="18:20">
      <c r="R553" s="81"/>
      <c r="S553" s="82"/>
      <c r="T553" s="81"/>
    </row>
    <row r="554" spans="18:20">
      <c r="R554" s="81"/>
      <c r="S554" s="82"/>
      <c r="T554" s="81"/>
    </row>
    <row r="555" spans="18:20">
      <c r="R555" s="81"/>
      <c r="S555" s="82"/>
      <c r="T555" s="81"/>
    </row>
    <row r="556" spans="18:20">
      <c r="R556" s="81"/>
      <c r="S556" s="82"/>
      <c r="T556" s="81"/>
    </row>
    <row r="557" spans="18:20">
      <c r="R557" s="81"/>
      <c r="S557" s="82"/>
      <c r="T557" s="81"/>
    </row>
    <row r="558" spans="18:20">
      <c r="R558" s="81"/>
      <c r="S558" s="82"/>
      <c r="T558" s="81"/>
    </row>
    <row r="559" spans="18:20">
      <c r="R559" s="81"/>
      <c r="S559" s="82"/>
      <c r="T559" s="81"/>
    </row>
    <row r="560" spans="18:20">
      <c r="R560" s="81"/>
      <c r="S560" s="82"/>
      <c r="T560" s="81"/>
    </row>
    <row r="561" spans="18:20">
      <c r="R561" s="81"/>
      <c r="S561" s="82"/>
      <c r="T561" s="81"/>
    </row>
    <row r="562" spans="18:20">
      <c r="R562" s="81"/>
      <c r="S562" s="82"/>
      <c r="T562" s="81"/>
    </row>
    <row r="563" spans="18:20">
      <c r="R563" s="81"/>
      <c r="S563" s="82"/>
      <c r="T563" s="81"/>
    </row>
    <row r="564" spans="18:20">
      <c r="R564" s="81"/>
      <c r="S564" s="82"/>
      <c r="T564" s="81"/>
    </row>
    <row r="565" spans="18:20">
      <c r="R565" s="81"/>
      <c r="S565" s="82"/>
      <c r="T565" s="81"/>
    </row>
    <row r="566" spans="18:20">
      <c r="R566" s="81"/>
      <c r="S566" s="82"/>
      <c r="T566" s="81"/>
    </row>
    <row r="567" spans="18:20">
      <c r="R567" s="81"/>
      <c r="S567" s="82"/>
      <c r="T567" s="81"/>
    </row>
    <row r="568" spans="18:20">
      <c r="R568" s="81"/>
      <c r="S568" s="82"/>
      <c r="T568" s="81"/>
    </row>
    <row r="569" spans="18:20">
      <c r="R569" s="81"/>
      <c r="S569" s="82"/>
      <c r="T569" s="81"/>
    </row>
    <row r="570" spans="18:20">
      <c r="R570" s="81"/>
      <c r="S570" s="82"/>
      <c r="T570" s="81"/>
    </row>
    <row r="571" spans="18:20">
      <c r="R571" s="81"/>
      <c r="S571" s="82"/>
      <c r="T571" s="81"/>
    </row>
    <row r="572" spans="18:20">
      <c r="R572" s="81"/>
      <c r="S572" s="82"/>
      <c r="T572" s="81"/>
    </row>
    <row r="573" spans="18:20">
      <c r="R573" s="81"/>
      <c r="S573" s="82"/>
      <c r="T573" s="81"/>
    </row>
    <row r="574" spans="18:20">
      <c r="R574" s="81"/>
      <c r="S574" s="82"/>
      <c r="T574" s="81"/>
    </row>
  </sheetData>
  <sheetProtection autoFilter="0"/>
  <autoFilter ref="B2:AX1404"/>
  <phoneticPr fontId="19" type="noConversion"/>
  <conditionalFormatting sqref="O3:O301">
    <cfRule type="duplicateValues" dxfId="114" priority="15"/>
  </conditionalFormatting>
  <conditionalFormatting sqref="O302:O499">
    <cfRule type="duplicateValues" dxfId="113" priority="708"/>
  </conditionalFormatting>
  <conditionalFormatting sqref="C3:C520">
    <cfRule type="duplicateValues" dxfId="112" priority="1"/>
  </conditionalFormatting>
  <pageMargins left="0.511811024" right="0.511811024" top="0.78740157499999996" bottom="0.78740157499999996" header="0.31496062000000002" footer="0.31496062000000002"/>
  <pageSetup paperSize="9" scale="10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DH31"/>
  <sheetViews>
    <sheetView showGridLines="0" tabSelected="1" zoomScale="90" zoomScaleNormal="90" workbookViewId="0">
      <pane xSplit="5" ySplit="11" topLeftCell="BR12" activePane="bottomRight" state="frozen"/>
      <selection pane="topRight" activeCell="F1" sqref="F1"/>
      <selection pane="bottomLeft" activeCell="A12" sqref="A12"/>
      <selection pane="bottomRight" activeCell="BU16" sqref="BU16:BV16"/>
    </sheetView>
  </sheetViews>
  <sheetFormatPr defaultRowHeight="15"/>
  <cols>
    <col min="1" max="1" width="13.140625" style="1" customWidth="1"/>
    <col min="2" max="2" width="10.5703125" style="7" customWidth="1"/>
    <col min="3" max="3" width="14.7109375" style="1" customWidth="1"/>
    <col min="4" max="5" width="10.7109375" style="1" customWidth="1"/>
    <col min="6" max="16" width="9.140625" style="96" customWidth="1"/>
    <col min="17" max="28" width="9.140625" style="3" customWidth="1"/>
    <col min="29" max="29" width="9.140625" style="6" customWidth="1"/>
    <col min="30" max="31" width="8" style="5" customWidth="1"/>
    <col min="32" max="32" width="8" style="1" customWidth="1"/>
    <col min="33" max="33" width="8.7109375" style="1" customWidth="1"/>
    <col min="34" max="35" width="9.42578125" style="4" customWidth="1"/>
    <col min="36" max="39" width="8.7109375" style="4" customWidth="1"/>
    <col min="40" max="40" width="14.7109375" style="4" customWidth="1"/>
    <col min="41" max="42" width="7.7109375" style="4" customWidth="1"/>
    <col min="43" max="43" width="14.7109375" style="4" customWidth="1"/>
    <col min="44" max="45" width="7.7109375" style="4" customWidth="1"/>
    <col min="46" max="46" width="14.7109375" style="4" customWidth="1"/>
    <col min="47" max="48" width="7.7109375" style="4" customWidth="1"/>
    <col min="49" max="49" width="14.7109375" style="4" customWidth="1"/>
    <col min="50" max="51" width="7.7109375" style="4" customWidth="1"/>
    <col min="52" max="52" width="15.85546875" style="4" bestFit="1" customWidth="1"/>
    <col min="53" max="53" width="22.7109375" style="4" customWidth="1"/>
    <col min="54" max="55" width="7.7109375" style="4" customWidth="1"/>
    <col min="56" max="56" width="15.28515625" style="4" customWidth="1"/>
    <col min="57" max="57" width="22.7109375" style="4" customWidth="1"/>
    <col min="58" max="59" width="7.7109375" style="4" customWidth="1"/>
    <col min="60" max="60" width="15.28515625" style="4" customWidth="1"/>
    <col min="61" max="61" width="22.7109375" style="4" customWidth="1"/>
    <col min="62" max="63" width="7.7109375" style="4" customWidth="1"/>
    <col min="64" max="64" width="15.28515625" style="4" customWidth="1"/>
    <col min="65" max="65" width="22.7109375" style="4" customWidth="1"/>
    <col min="66" max="71" width="9.5703125" style="4" customWidth="1"/>
    <col min="72" max="72" width="37.5703125" style="2" customWidth="1"/>
    <col min="73" max="73" width="14.7109375" style="2" customWidth="1"/>
    <col min="74" max="74" width="6" style="2" customWidth="1"/>
    <col min="75" max="75" width="14.7109375" style="2" customWidth="1"/>
    <col min="76" max="76" width="6" style="2" customWidth="1"/>
    <col min="77" max="77" width="14.7109375" style="2" customWidth="1"/>
    <col min="78" max="78" width="6" style="2" customWidth="1"/>
    <col min="79" max="79" width="14.7109375" style="2" customWidth="1"/>
    <col min="80" max="80" width="6" style="2" customWidth="1"/>
    <col min="81" max="81" width="8" style="9" customWidth="1"/>
    <col min="82" max="84" width="8" style="9" hidden="1" customWidth="1"/>
    <col min="85" max="85" width="8.5703125" style="9" hidden="1" customWidth="1"/>
    <col min="86" max="86" width="1.28515625" style="17" hidden="1" customWidth="1"/>
    <col min="87" max="87" width="18.28515625" style="9" hidden="1" customWidth="1"/>
    <col min="88" max="96" width="10.7109375" style="9" hidden="1" customWidth="1"/>
    <col min="97" max="97" width="13.5703125" style="9" hidden="1" customWidth="1"/>
    <col min="98" max="98" width="26.5703125" style="9" hidden="1" customWidth="1"/>
    <col min="99" max="99" width="2.140625" style="9" hidden="1" customWidth="1"/>
    <col min="100" max="100" width="3.42578125" hidden="1" customWidth="1"/>
    <col min="101" max="101" width="17.28515625" hidden="1" customWidth="1"/>
    <col min="102" max="102" width="2.28515625" hidden="1" customWidth="1"/>
    <col min="103" max="110" width="15.7109375" hidden="1" customWidth="1"/>
    <col min="111" max="111" width="9.140625" customWidth="1"/>
  </cols>
  <sheetData>
    <row r="1" spans="1:112" s="156" customFormat="1" ht="9.75" customHeight="1">
      <c r="A1" s="146"/>
      <c r="B1" s="97"/>
      <c r="C1" s="146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8"/>
      <c r="R1" s="148"/>
      <c r="S1" s="148"/>
      <c r="T1" s="148"/>
      <c r="U1" s="148"/>
      <c r="V1" s="148"/>
      <c r="W1" s="148"/>
      <c r="X1" s="148"/>
      <c r="Y1" s="148"/>
      <c r="Z1" s="148"/>
      <c r="AA1" s="148"/>
      <c r="AB1" s="148"/>
      <c r="AC1" s="150"/>
      <c r="AD1" s="149"/>
      <c r="AE1" s="149"/>
      <c r="AF1" s="146"/>
      <c r="AG1" s="146"/>
      <c r="AH1" s="151"/>
      <c r="AI1" s="151"/>
      <c r="AJ1" s="151"/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2"/>
      <c r="AX1" s="153"/>
      <c r="AY1" s="153"/>
      <c r="AZ1" s="151"/>
      <c r="BA1" s="151"/>
      <c r="BB1" s="153"/>
      <c r="BC1" s="153"/>
      <c r="BD1" s="151"/>
      <c r="BE1" s="151"/>
      <c r="BF1" s="153"/>
      <c r="BG1" s="153"/>
      <c r="BH1" s="151"/>
      <c r="BI1" s="151"/>
      <c r="BJ1" s="151"/>
      <c r="BK1" s="151"/>
      <c r="BL1" s="151"/>
      <c r="BM1" s="151"/>
      <c r="BN1" s="151"/>
      <c r="BO1" s="151"/>
      <c r="BP1" s="151"/>
      <c r="BQ1" s="151"/>
      <c r="BR1" s="151"/>
      <c r="BS1" s="151"/>
      <c r="BT1" s="151"/>
      <c r="BU1" s="151"/>
      <c r="BV1" s="151"/>
      <c r="BW1" s="151"/>
      <c r="BX1" s="151"/>
      <c r="BY1" s="154"/>
      <c r="BZ1" s="154"/>
      <c r="CA1" s="154"/>
      <c r="CB1" s="154"/>
      <c r="CC1" s="153"/>
      <c r="CD1" s="153"/>
      <c r="CE1" s="153"/>
      <c r="CF1" s="153"/>
      <c r="CG1" s="153"/>
      <c r="CH1" s="155"/>
      <c r="CI1" s="153"/>
      <c r="CJ1" s="153"/>
      <c r="CK1" s="153"/>
      <c r="CL1" s="153"/>
      <c r="CM1" s="153"/>
      <c r="CN1" s="153"/>
      <c r="CO1" s="153"/>
      <c r="CP1" s="153"/>
      <c r="CQ1" s="153"/>
      <c r="CR1" s="153"/>
      <c r="CS1" s="153"/>
      <c r="CT1" s="153"/>
      <c r="CU1" s="153"/>
    </row>
    <row r="2" spans="1:112" s="101" customFormat="1" ht="18.600000000000001" customHeight="1">
      <c r="A2" s="97"/>
      <c r="B2" s="247"/>
      <c r="C2" s="24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100"/>
      <c r="AE2" s="100"/>
      <c r="AF2" s="97"/>
      <c r="AG2" s="97"/>
      <c r="AK2" s="102"/>
      <c r="AL2" s="102"/>
      <c r="AU2" s="290"/>
      <c r="AV2" s="103"/>
      <c r="AZ2" s="207" t="s">
        <v>751</v>
      </c>
      <c r="BC2" s="104"/>
      <c r="BE2" s="207" t="s">
        <v>1048</v>
      </c>
      <c r="BL2" s="104"/>
      <c r="BM2" s="338" t="s">
        <v>2</v>
      </c>
      <c r="BN2" s="338"/>
      <c r="BO2" s="20" t="s">
        <v>21</v>
      </c>
      <c r="BP2" s="20" t="s">
        <v>49</v>
      </c>
      <c r="BQ2" s="20" t="s">
        <v>48</v>
      </c>
      <c r="BR2" s="206" t="s">
        <v>15</v>
      </c>
      <c r="BS2" s="20" t="s">
        <v>55</v>
      </c>
      <c r="BT2" s="95" t="s">
        <v>51</v>
      </c>
      <c r="BU2" s="105" t="str">
        <f>IF(Cadastro!$Z$3="","",Cadastro!$Z$3)</f>
        <v>Maquina 1</v>
      </c>
      <c r="BV2" s="106"/>
      <c r="BW2" s="107" t="str">
        <f>IF(Cadastro!$Z$11="","",Cadastro!$Z$11)</f>
        <v>Mesa PAD LH</v>
      </c>
      <c r="BX2" s="108"/>
      <c r="BY2" s="107" t="str">
        <f>IF(Cadastro!$Z$19="","",Cadastro!$Z$19)</f>
        <v/>
      </c>
      <c r="BZ2" s="108"/>
      <c r="CA2" s="107" t="str">
        <f>IF(Cadastro!$Z$27="","",Cadastro!$Z$27)</f>
        <v/>
      </c>
      <c r="CB2" s="109"/>
      <c r="CC2" s="110"/>
      <c r="CD2" s="110"/>
      <c r="CE2" s="110"/>
      <c r="CF2" s="110"/>
      <c r="CG2" s="110"/>
      <c r="CI2" s="234" t="s">
        <v>1016</v>
      </c>
      <c r="CJ2" s="235">
        <v>1</v>
      </c>
      <c r="CK2" s="111"/>
      <c r="CL2" s="111"/>
      <c r="CM2" s="111"/>
      <c r="CN2" s="111"/>
      <c r="CO2" s="111"/>
      <c r="CP2" s="111"/>
      <c r="CQ2" s="111"/>
      <c r="CR2" s="111"/>
      <c r="CS2" s="111"/>
      <c r="CT2" s="226" t="s">
        <v>908</v>
      </c>
      <c r="CU2" s="111"/>
    </row>
    <row r="3" spans="1:112" s="101" customFormat="1" ht="18.600000000000001" customHeight="1"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9"/>
      <c r="R3" s="99"/>
      <c r="S3" s="99"/>
      <c r="T3" s="99"/>
      <c r="U3" s="99"/>
      <c r="V3" s="99"/>
      <c r="W3" s="99"/>
      <c r="X3" s="99"/>
      <c r="Y3" s="99"/>
      <c r="Z3" s="99"/>
      <c r="AA3" s="99"/>
      <c r="AB3" s="99"/>
      <c r="AC3" s="99"/>
      <c r="AD3" s="100"/>
      <c r="AE3" s="100"/>
      <c r="AF3" s="97"/>
      <c r="AG3" s="97"/>
      <c r="AK3" s="102"/>
      <c r="AL3" s="102"/>
      <c r="AV3" s="293"/>
      <c r="AW3" s="336" t="s">
        <v>2</v>
      </c>
      <c r="AX3" s="337"/>
      <c r="AZ3" s="266" t="s">
        <v>0</v>
      </c>
      <c r="BA3" s="266" t="s">
        <v>2</v>
      </c>
      <c r="BB3" s="344" t="s">
        <v>1001</v>
      </c>
      <c r="BC3" s="345"/>
      <c r="BE3" s="282" t="s">
        <v>1119</v>
      </c>
      <c r="BF3" s="340">
        <f>SUM(P12:P31)</f>
        <v>73</v>
      </c>
      <c r="BG3" s="341"/>
      <c r="BL3" s="104"/>
      <c r="BM3" s="339" t="s">
        <v>731</v>
      </c>
      <c r="BN3" s="339"/>
      <c r="BO3" s="214">
        <f>IFERROR(VLOOKUP($BM$3,$CI$11:$CJ$31,2,0),"")</f>
        <v>7.1568627450980388E-2</v>
      </c>
      <c r="BP3" s="213">
        <f>IFERROR(IF(CJ2=1,$CJ$6,IF(CJ2=2,$CK$6,IF(CJ2=3,$BL$7-$BL$6,""))),"")</f>
        <v>0.40833333333333338</v>
      </c>
      <c r="BQ3" s="213" t="str">
        <f>IFERROR(VLOOKUP($BM$3,$CI$11:$CL$31,4,0),"")</f>
        <v>0:00</v>
      </c>
      <c r="BR3" s="213">
        <f>IFERROR((BP3+BQ3)-BR7,"")</f>
        <v>0.40833333333333338</v>
      </c>
      <c r="BS3" s="213">
        <f>SUM(BO7:BS7)-(BP3+BQ3)</f>
        <v>0</v>
      </c>
      <c r="BT3" s="215" t="str">
        <f>IFERROR(IF(BS3&lt;0,"Falta Apontamento",IF(BS3&gt;0,"Apontamento em Excesso","Apontamento Correto")),"")</f>
        <v>Apontamento Correto</v>
      </c>
      <c r="BU3" s="113" t="str">
        <f>IF(Cadastro!$Z$4="","",Cadastro!$Z$4)</f>
        <v>Maquina 2</v>
      </c>
      <c r="BV3" s="114"/>
      <c r="BW3" s="115" t="str">
        <f>IF(Cadastro!$Z$12="","",Cadastro!$Z$12)</f>
        <v>Mesa Rodinho</v>
      </c>
      <c r="BX3" s="114"/>
      <c r="BY3" s="115" t="str">
        <f>IF(Cadastro!$Z$20="","",Cadastro!$Z$20)</f>
        <v/>
      </c>
      <c r="BZ3" s="114"/>
      <c r="CA3" s="115" t="str">
        <f>IF(Cadastro!$Z$28="","",Cadastro!$Z$28)</f>
        <v/>
      </c>
      <c r="CB3" s="116"/>
      <c r="CC3" s="117"/>
      <c r="CD3" s="117"/>
      <c r="CE3" s="117"/>
      <c r="CF3" s="117"/>
      <c r="CG3" s="117"/>
      <c r="CI3" s="234"/>
      <c r="CJ3" s="118"/>
      <c r="CK3" s="111"/>
      <c r="CL3" s="111"/>
      <c r="CM3" s="111"/>
      <c r="CR3" s="111"/>
      <c r="CS3" s="111"/>
      <c r="CT3" s="227" t="s">
        <v>909</v>
      </c>
      <c r="CU3" s="111"/>
      <c r="CY3" s="326"/>
      <c r="CZ3" s="292" t="s">
        <v>1122</v>
      </c>
      <c r="DA3" s="302">
        <f>(SUMIFS(BR12:BR31,C12:C31,"&lt;&gt;Try out",C12:C31,AW4))*24</f>
        <v>9.8000000000000007</v>
      </c>
    </row>
    <row r="4" spans="1:112" s="101" customFormat="1" ht="18.600000000000001" customHeight="1">
      <c r="A4" s="97"/>
      <c r="B4" s="97"/>
      <c r="C4" s="112"/>
      <c r="D4" s="97"/>
      <c r="E4" s="273" t="s">
        <v>1071</v>
      </c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9"/>
      <c r="R4" s="99"/>
      <c r="S4" s="261"/>
      <c r="T4" s="99"/>
      <c r="U4" s="99"/>
      <c r="V4" s="99"/>
      <c r="W4" s="99"/>
      <c r="X4" s="99"/>
      <c r="Y4" s="99"/>
      <c r="Z4" s="99"/>
      <c r="AA4" s="99"/>
      <c r="AB4" s="99"/>
      <c r="AC4" s="99"/>
      <c r="AD4" s="100"/>
      <c r="AE4" s="100"/>
      <c r="AF4" s="97"/>
      <c r="AG4" s="97"/>
      <c r="AK4" s="102"/>
      <c r="AL4" s="102"/>
      <c r="AV4" s="293"/>
      <c r="AW4" s="335" t="s">
        <v>725</v>
      </c>
      <c r="AX4" s="335"/>
      <c r="AZ4" s="265"/>
      <c r="BA4" s="256"/>
      <c r="BB4" s="346"/>
      <c r="BC4" s="347"/>
      <c r="BE4" s="282" t="s">
        <v>1120</v>
      </c>
      <c r="BF4" s="340">
        <f>SUMIFS(D12:D31,C12:C31,"Retrabalho")</f>
        <v>73</v>
      </c>
      <c r="BG4" s="341"/>
      <c r="BL4" s="208"/>
      <c r="BN4" s="204"/>
      <c r="BO4" s="205"/>
      <c r="BP4" s="86"/>
      <c r="BQ4" s="86"/>
      <c r="BR4" s="86"/>
      <c r="BS4" s="122" t="b">
        <f>ISERR($BS$3)</f>
        <v>0</v>
      </c>
      <c r="BT4" s="119"/>
      <c r="BU4" s="120" t="str">
        <f>IF(Cadastro!$Z$5="","",Cadastro!$Z$5)</f>
        <v>Maquina 3</v>
      </c>
      <c r="BV4" s="114"/>
      <c r="BW4" s="283" t="str">
        <f>IF(Cadastro!$Z$13="","",Cadastro!$Z$13)</f>
        <v>Retrabalho</v>
      </c>
      <c r="BX4" s="114"/>
      <c r="BY4" s="115" t="str">
        <f>IF(Cadastro!$Z$21="","",Cadastro!$Z$21)</f>
        <v/>
      </c>
      <c r="BZ4" s="114"/>
      <c r="CA4" s="115" t="str">
        <f>IF(Cadastro!$Z$29="","",Cadastro!$Z$29)</f>
        <v/>
      </c>
      <c r="CB4" s="116"/>
      <c r="CC4" s="117"/>
      <c r="CD4" s="117"/>
      <c r="CE4" s="117"/>
      <c r="CF4" s="117"/>
      <c r="CG4" s="117"/>
      <c r="CI4" s="234" t="s">
        <v>1017</v>
      </c>
      <c r="CJ4" s="235" t="b">
        <v>0</v>
      </c>
      <c r="CK4" s="111"/>
      <c r="CL4" s="111"/>
      <c r="CM4" s="111"/>
      <c r="CR4" s="111"/>
      <c r="CS4" s="111"/>
      <c r="CT4" s="228" t="s">
        <v>910</v>
      </c>
      <c r="CU4" s="111"/>
      <c r="CY4" s="325"/>
      <c r="CZ4" s="294" t="s">
        <v>1138</v>
      </c>
      <c r="DA4" s="303">
        <f>(SUMIFS(BP12:BP31,C12:C31,"&lt;&gt;Try out",C12:C31,AW4))*24</f>
        <v>0</v>
      </c>
    </row>
    <row r="5" spans="1:112" s="101" customFormat="1" ht="18.600000000000001" customHeight="1">
      <c r="A5" s="97"/>
      <c r="B5" s="97"/>
      <c r="D5" s="97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9"/>
      <c r="R5" s="99"/>
      <c r="S5" s="262"/>
      <c r="T5" s="99"/>
      <c r="U5" s="99"/>
      <c r="V5" s="99"/>
      <c r="W5" s="99"/>
      <c r="X5" s="99"/>
      <c r="Y5" s="99"/>
      <c r="Z5" s="99"/>
      <c r="AA5" s="99"/>
      <c r="AB5" s="99"/>
      <c r="AC5" s="99"/>
      <c r="AD5" s="100"/>
      <c r="AE5" s="100"/>
      <c r="AF5" s="97"/>
      <c r="AG5" s="97"/>
      <c r="AK5" s="102"/>
      <c r="AL5" s="102"/>
      <c r="AM5" s="121"/>
      <c r="AN5" s="103"/>
      <c r="AO5" s="103"/>
      <c r="AW5" s="298" t="s">
        <v>1140</v>
      </c>
      <c r="AX5" s="296">
        <f>DA3/(DA3+DA4)</f>
        <v>1</v>
      </c>
      <c r="AZ5" s="264" t="s">
        <v>1118</v>
      </c>
      <c r="BA5" s="264" t="s">
        <v>20</v>
      </c>
      <c r="BB5" s="348" t="s">
        <v>50</v>
      </c>
      <c r="BC5" s="349"/>
      <c r="BE5" s="282" t="s">
        <v>1072</v>
      </c>
      <c r="BF5" s="342">
        <f>SUMIF(C12:C31,"Retrabalho",BS12:BS31)*24</f>
        <v>0.75</v>
      </c>
      <c r="BG5" s="343"/>
      <c r="BL5" s="104"/>
      <c r="BN5" s="104"/>
      <c r="BO5" s="104"/>
      <c r="BP5" s="104"/>
      <c r="BQ5" s="104"/>
      <c r="BR5" s="104"/>
      <c r="BS5" s="104"/>
      <c r="BT5" s="123"/>
      <c r="BU5" s="120" t="str">
        <f>IF(Cadastro!$Z$6="","",Cadastro!$Z$6)</f>
        <v>Maquina 4</v>
      </c>
      <c r="BV5" s="114"/>
      <c r="BW5" s="115" t="str">
        <f>IF(Cadastro!$Z$14="","",Cadastro!$Z$14)</f>
        <v/>
      </c>
      <c r="BX5" s="114"/>
      <c r="BY5" s="124" t="str">
        <f>IF(Cadastro!$Z$22="","",Cadastro!$Z$22)</f>
        <v/>
      </c>
      <c r="BZ5" s="114"/>
      <c r="CA5" s="115" t="str">
        <f>IF(Cadastro!$Z$30="","",Cadastro!$Z$30)</f>
        <v/>
      </c>
      <c r="CB5" s="116"/>
      <c r="CC5" s="117"/>
      <c r="CD5" s="117"/>
      <c r="CE5" s="117"/>
      <c r="CF5" s="117"/>
      <c r="CG5" s="117"/>
      <c r="CI5" s="234"/>
      <c r="CJ5" s="118"/>
      <c r="CK5" s="111"/>
      <c r="CL5" s="111"/>
      <c r="CM5" s="111"/>
      <c r="CR5" s="111"/>
      <c r="CS5" s="111"/>
      <c r="CT5" s="229" t="s">
        <v>966</v>
      </c>
      <c r="CU5" s="111"/>
      <c r="CY5" s="324"/>
      <c r="CZ5" s="292" t="s">
        <v>1124</v>
      </c>
      <c r="DA5" s="304">
        <f>SUMIFS(D12:D31,A12:A31,"&lt;&gt;Try out",C12:C31,AW4)</f>
        <v>1000</v>
      </c>
    </row>
    <row r="6" spans="1:112" s="101" customFormat="1" ht="18.600000000000001" customHeight="1">
      <c r="A6" s="97"/>
      <c r="B6" s="97"/>
      <c r="D6" s="246"/>
      <c r="F6" s="125"/>
      <c r="G6" s="125"/>
      <c r="I6" s="125"/>
      <c r="J6" s="125"/>
      <c r="K6" s="125"/>
      <c r="L6" s="125"/>
      <c r="M6" s="125"/>
      <c r="N6" s="125"/>
      <c r="O6" s="125"/>
      <c r="P6" s="126"/>
      <c r="Q6" s="99"/>
      <c r="R6" s="99"/>
      <c r="S6" s="99"/>
      <c r="T6" s="99"/>
      <c r="U6" s="99"/>
      <c r="V6" s="99"/>
      <c r="W6" s="99"/>
      <c r="X6" s="99"/>
      <c r="Y6" s="99"/>
      <c r="Z6" s="99"/>
      <c r="AA6" s="127"/>
      <c r="AB6" s="127"/>
      <c r="AC6" s="129"/>
      <c r="AD6" s="128"/>
      <c r="AE6" s="128"/>
      <c r="AF6" s="130"/>
      <c r="AG6" s="130"/>
      <c r="AK6" s="102"/>
      <c r="AL6" s="102"/>
      <c r="AM6" s="131"/>
      <c r="AN6" s="132"/>
      <c r="AO6" s="133"/>
      <c r="AW6" s="300" t="s">
        <v>1141</v>
      </c>
      <c r="AX6" s="307">
        <f>DA5/DA6</f>
        <v>0.76530612244897955</v>
      </c>
      <c r="AZ6" s="257" t="str">
        <f>IF(AZ4="","",IF(AND(BA4="",BB4&lt;&gt;""),SUMIFS(D12:D31,A12:A31,AZ4,AG12:AG31,BB4),IF(AND(BB4="",BA4=""),SUMIFS(D12:D31,A12:A31,AZ4),IF(AND(BA4&lt;&gt;"",BB4=""),SUMIFS(D12:D31,A12:A31,AZ4,C12:C31,BA4),SUMIFS(D12:D31,A12:A31,AZ4,C12:C31,BA4,AG12:AG31,BB4)))))</f>
        <v/>
      </c>
      <c r="BA6" s="258" t="str">
        <f>IF(AZ4="","",IF(AND(BA4="",BB4&lt;&gt;""),SUMIFS(BR12:BR31,A12:A31,AZ4,AG12:AG31,BB4),IF(AND(BA4="",BB4=""),SUMIF(A12:A31,AZ4,BR12:BR31),IF(AND(BA4&lt;&gt;"",BB4=""),SUMIFS(BR12:BR31,A12:A31,AZ4,C12:C31,BA4),SUMIFS(BR12:BR31,A12:A31,AZ4,C12:C31,BA4,AG12:AG31,BB4))))*24)</f>
        <v/>
      </c>
      <c r="BB6" s="333" t="str">
        <f>IFERROR(ROUNDDOWN(AZ6/BA6,0),"")</f>
        <v/>
      </c>
      <c r="BC6" s="334"/>
      <c r="BI6" s="104"/>
      <c r="BJ6" s="104"/>
      <c r="BK6" s="284" t="str">
        <f>IF(BM7="Turno Especial","Início","")</f>
        <v/>
      </c>
      <c r="BL6" s="286"/>
      <c r="BM6" s="338" t="s">
        <v>47</v>
      </c>
      <c r="BN6" s="338"/>
      <c r="BO6" s="20" t="s">
        <v>4</v>
      </c>
      <c r="BP6" s="20" t="s">
        <v>53</v>
      </c>
      <c r="BQ6" s="20" t="s">
        <v>54</v>
      </c>
      <c r="BR6" s="20" t="s">
        <v>19</v>
      </c>
      <c r="BS6" s="20" t="s">
        <v>721</v>
      </c>
      <c r="BT6" s="135"/>
      <c r="BU6" s="120" t="str">
        <f>IF(Cadastro!$Z$7="","",Cadastro!$Z$7)</f>
        <v>Maquina 5</v>
      </c>
      <c r="BV6" s="114"/>
      <c r="BW6" s="115" t="str">
        <f>IF(Cadastro!$Z$15="","",Cadastro!$Z$15)</f>
        <v/>
      </c>
      <c r="BX6" s="114"/>
      <c r="BY6" s="124" t="str">
        <f>IF(Cadastro!$Z$23="","",Cadastro!$Z$23)</f>
        <v/>
      </c>
      <c r="BZ6" s="114"/>
      <c r="CA6" s="115" t="str">
        <f>IF(Cadastro!$Z$31="","",Cadastro!$Z$31)</f>
        <v/>
      </c>
      <c r="CB6" s="116"/>
      <c r="CC6" s="117"/>
      <c r="CD6" s="117"/>
      <c r="CE6" s="117"/>
      <c r="CF6" s="117"/>
      <c r="CG6" s="117"/>
      <c r="CI6" s="234"/>
      <c r="CJ6" s="236">
        <v>0.40833333333333338</v>
      </c>
      <c r="CK6" s="237">
        <v>0.79652777777777783</v>
      </c>
      <c r="CL6" s="111"/>
      <c r="CM6" s="111"/>
      <c r="CR6" s="111"/>
      <c r="CS6" s="111"/>
      <c r="CT6" s="230" t="s">
        <v>911</v>
      </c>
      <c r="CU6" s="111"/>
      <c r="CZ6" s="294" t="s">
        <v>1125</v>
      </c>
      <c r="DA6" s="305">
        <f>SUMIFS(CE12:CE31,A12:A31,"&lt;&gt;Try out",C12:C31,AW4)</f>
        <v>1306.6666666666667</v>
      </c>
    </row>
    <row r="7" spans="1:112" s="101" customFormat="1" ht="18.600000000000001" customHeight="1">
      <c r="A7" s="136" t="s">
        <v>92</v>
      </c>
      <c r="B7" s="97"/>
      <c r="D7" s="356" t="str">
        <f>IFERROR(IF(VLOOKUP("Try Out",A12:A31,1,0)="Try Out","Preencher informações de Try Out",""),"")</f>
        <v>Preencher informações de Try Out</v>
      </c>
      <c r="E7" s="260" t="s">
        <v>1048</v>
      </c>
      <c r="F7" s="125"/>
      <c r="G7" s="125"/>
      <c r="I7" s="125"/>
      <c r="J7" s="125"/>
      <c r="K7" s="125"/>
      <c r="L7" s="125"/>
      <c r="M7" s="125"/>
      <c r="N7" s="125"/>
      <c r="O7" s="125"/>
      <c r="P7" s="126"/>
      <c r="Q7" s="99"/>
      <c r="R7" s="99"/>
      <c r="S7" s="99"/>
      <c r="T7" s="99"/>
      <c r="U7" s="99"/>
      <c r="V7" s="99"/>
      <c r="W7" s="99"/>
      <c r="X7" s="99"/>
      <c r="Y7" s="99"/>
      <c r="Z7" s="99"/>
      <c r="AA7" s="127"/>
      <c r="AB7" s="127"/>
      <c r="AC7" s="129"/>
      <c r="AD7" s="128"/>
      <c r="AE7" s="128"/>
      <c r="AF7" s="130"/>
      <c r="AG7" s="130"/>
      <c r="AK7" s="102"/>
      <c r="AL7" s="102"/>
      <c r="AM7" s="131"/>
      <c r="AN7" s="132"/>
      <c r="AO7" s="133"/>
      <c r="AV7" s="134"/>
      <c r="AW7" s="299" t="s">
        <v>1142</v>
      </c>
      <c r="AX7" s="297">
        <f>DA8/DA7</f>
        <v>1</v>
      </c>
      <c r="BH7" s="104"/>
      <c r="BI7" s="104"/>
      <c r="BJ7" s="104"/>
      <c r="BK7" s="285" t="str">
        <f>IF(BK6="Início","Fim","")</f>
        <v/>
      </c>
      <c r="BL7" s="286"/>
      <c r="BM7" s="359" t="str">
        <f>IFERROR(IF(CJ2=1,"06:00 ~ 15:48",IF(CJ2=2,"06:00 ~ 01:19",IF(CJ2=3,"Turno Especial",""))),"")</f>
        <v>06:00 ~ 15:48</v>
      </c>
      <c r="BN7" s="359"/>
      <c r="BO7" s="213">
        <f>IFERROR(VLOOKUP($BM$3,$CI$11:$CN$31,6,0),"")</f>
        <v>0</v>
      </c>
      <c r="BP7" s="213">
        <f>IFERROR(VLOOKUP($BM$3,$CI$11:$CO$31,7,0),"")</f>
        <v>0</v>
      </c>
      <c r="BQ7" s="213">
        <f>IFERROR(VLOOKUP($BM$3,$CI$11:$CP$31,8,0),"")</f>
        <v>8.3333333333333315E-2</v>
      </c>
      <c r="BR7" s="213">
        <f>IFERROR(VLOOKUP($BM$3,$CI$11:$CQ$31,9,0),"")</f>
        <v>0</v>
      </c>
      <c r="BS7" s="213">
        <f>IFERROR(VLOOKUP($BM$3,CI11:CR31,10,0),"")</f>
        <v>0.32500000000000001</v>
      </c>
      <c r="BT7" s="137"/>
      <c r="BU7" s="120" t="str">
        <f>IF(Cadastro!$Z$8="","",Cadastro!$Z$8)</f>
        <v>Maquina 6</v>
      </c>
      <c r="BV7" s="114"/>
      <c r="BW7" s="115" t="str">
        <f>IF(Cadastro!$Z$16="","",Cadastro!$Z$16)</f>
        <v/>
      </c>
      <c r="BX7" s="114"/>
      <c r="BY7" s="115" t="str">
        <f>IF(Cadastro!$Z$24="","",Cadastro!$Z$24)</f>
        <v/>
      </c>
      <c r="BZ7" s="114"/>
      <c r="CA7" s="115" t="str">
        <f>IF(Cadastro!$Z$32="","",Cadastro!$Z$32)</f>
        <v/>
      </c>
      <c r="CB7" s="116"/>
      <c r="CC7" s="117"/>
      <c r="CD7" s="117"/>
      <c r="CE7" s="117"/>
      <c r="CF7" s="117"/>
      <c r="CG7" s="117"/>
      <c r="CI7" s="234"/>
      <c r="CJ7" s="118"/>
      <c r="CK7" s="111"/>
      <c r="CL7" s="111"/>
      <c r="CM7" s="111"/>
      <c r="CR7" s="111"/>
      <c r="CS7" s="111"/>
      <c r="CT7" s="231" t="s">
        <v>912</v>
      </c>
      <c r="CU7" s="111"/>
      <c r="CZ7" s="292" t="s">
        <v>1123</v>
      </c>
      <c r="DA7" s="304">
        <f>SUMIFS(D12:D31,A12:A31,"&lt;&gt;Try out",C12:C31,AW4)</f>
        <v>1000</v>
      </c>
    </row>
    <row r="8" spans="1:112" s="101" customFormat="1" ht="18.600000000000001" customHeight="1">
      <c r="D8" s="356"/>
      <c r="E8" s="244"/>
      <c r="F8" s="125"/>
      <c r="G8" s="125"/>
      <c r="I8" s="125"/>
      <c r="J8" s="125"/>
      <c r="K8" s="125"/>
      <c r="L8" s="125"/>
      <c r="M8" s="125"/>
      <c r="N8" s="125"/>
      <c r="O8" s="125"/>
      <c r="P8" s="126"/>
      <c r="Q8" s="99"/>
      <c r="R8" s="99"/>
      <c r="S8" s="99"/>
      <c r="T8" s="99"/>
      <c r="U8" s="99"/>
      <c r="V8" s="99"/>
      <c r="W8" s="99"/>
      <c r="X8" s="99"/>
      <c r="Y8" s="99"/>
      <c r="Z8" s="99"/>
      <c r="AA8" s="127"/>
      <c r="AB8" s="127"/>
      <c r="AC8" s="129"/>
      <c r="AD8" s="128"/>
      <c r="AE8" s="128"/>
      <c r="AF8" s="130"/>
      <c r="AG8" s="130"/>
      <c r="AK8" s="102"/>
      <c r="AL8" s="102"/>
      <c r="AM8" s="103"/>
      <c r="AN8" s="103"/>
      <c r="AO8" s="103"/>
      <c r="AV8" s="293"/>
      <c r="AW8" s="308" t="s">
        <v>1139</v>
      </c>
      <c r="AX8" s="301">
        <f>AX5*AX6*AX7</f>
        <v>0.76530612244897955</v>
      </c>
      <c r="BD8" s="104"/>
      <c r="BH8" s="104"/>
      <c r="BM8" s="138"/>
      <c r="BN8" s="138"/>
      <c r="BO8" s="138"/>
      <c r="BP8" s="138"/>
      <c r="BQ8" s="104"/>
      <c r="BR8" s="104"/>
      <c r="BS8" s="104"/>
      <c r="BT8" s="97"/>
      <c r="BU8" s="120" t="str">
        <f>IF(Cadastro!$Z$9="","",Cadastro!$Z$9)</f>
        <v>Maquina 7</v>
      </c>
      <c r="BV8" s="139"/>
      <c r="BW8" s="115" t="str">
        <f>IF(Cadastro!$Z$17="","",Cadastro!$Z$17)</f>
        <v/>
      </c>
      <c r="BX8" s="114"/>
      <c r="BY8" s="115" t="str">
        <f>IF(Cadastro!$Z$25="","",Cadastro!$Z$25)</f>
        <v/>
      </c>
      <c r="BZ8" s="114"/>
      <c r="CA8" s="115" t="str">
        <f>IF(Cadastro!$Z$33="","",Cadastro!$Z$33)</f>
        <v/>
      </c>
      <c r="CB8" s="116"/>
      <c r="CC8" s="140"/>
      <c r="CD8" s="140"/>
      <c r="CE8" s="140"/>
      <c r="CF8" s="140"/>
      <c r="CG8" s="140"/>
      <c r="CI8" s="233" t="s">
        <v>1015</v>
      </c>
      <c r="CJ8" s="238" t="str">
        <f>IF(OR($A$7="QUALIDADE",$A$7="ENGENHARIA",$A$7="LOGÍSTICA"),2,"")</f>
        <v/>
      </c>
      <c r="CK8" s="111"/>
      <c r="CL8" s="111"/>
      <c r="CM8" s="111"/>
      <c r="CR8" s="111"/>
      <c r="CS8" s="111"/>
      <c r="CT8" s="232" t="s">
        <v>429</v>
      </c>
      <c r="CU8" s="111"/>
      <c r="CZ8" s="295" t="s">
        <v>1137</v>
      </c>
      <c r="DA8" s="306">
        <f>SUMIFS(AF12:AF31,A12:A31,"&lt;&gt;Try out",C12:C31,AW4)</f>
        <v>1000</v>
      </c>
    </row>
    <row r="9" spans="1:112" s="101" customFormat="1" ht="18.600000000000001" customHeight="1">
      <c r="B9" s="97"/>
      <c r="D9" s="356"/>
      <c r="E9" s="245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  <c r="Q9" s="99"/>
      <c r="R9" s="99"/>
      <c r="S9" s="99"/>
      <c r="T9" s="99"/>
      <c r="U9" s="99"/>
      <c r="V9" s="99"/>
      <c r="W9" s="99"/>
      <c r="X9" s="99"/>
      <c r="Y9" s="99"/>
      <c r="Z9" s="99"/>
      <c r="AA9" s="99"/>
      <c r="AB9" s="99"/>
      <c r="AC9" s="99"/>
      <c r="AD9" s="100"/>
      <c r="AE9" s="100"/>
      <c r="AF9" s="97"/>
      <c r="AG9" s="97"/>
      <c r="AK9" s="102"/>
      <c r="AL9" s="102"/>
      <c r="AM9" s="103"/>
      <c r="AN9" s="103"/>
      <c r="AO9" s="103"/>
      <c r="AS9" s="103"/>
      <c r="AT9" s="103"/>
      <c r="AU9" s="103"/>
      <c r="BA9" s="104"/>
      <c r="BC9" s="104"/>
      <c r="BD9" s="104"/>
      <c r="BE9" s="104"/>
      <c r="BG9" s="104"/>
      <c r="BH9" s="104"/>
      <c r="BI9" s="104"/>
      <c r="BJ9" s="104"/>
      <c r="BM9" s="104"/>
      <c r="BN9" s="104"/>
      <c r="BU9" s="141" t="str">
        <f>IF(Cadastro!$Z$10="","",Cadastro!$Z$10)</f>
        <v>Mesa PAD RH</v>
      </c>
      <c r="BV9" s="142"/>
      <c r="BW9" s="143" t="str">
        <f>IF(Cadastro!$Z$18="","",Cadastro!$Z$18)</f>
        <v/>
      </c>
      <c r="BX9" s="144"/>
      <c r="BY9" s="143" t="str">
        <f>IF(Cadastro!$Z$26="","",Cadastro!$Z$26)</f>
        <v/>
      </c>
      <c r="BZ9" s="144"/>
      <c r="CA9" s="203" t="str">
        <f>IF(Cadastro!$Z$34="","",Cadastro!$Z$34)</f>
        <v/>
      </c>
      <c r="CB9" s="145"/>
      <c r="CC9" s="140"/>
      <c r="CD9" s="140"/>
      <c r="CE9" s="140"/>
      <c r="CF9" s="140"/>
      <c r="CG9" s="140"/>
      <c r="CI9" s="111"/>
      <c r="CJ9" s="111"/>
      <c r="CK9" s="111"/>
      <c r="CL9" s="111"/>
      <c r="CM9" s="111"/>
      <c r="CN9" s="111"/>
      <c r="CO9" s="111"/>
      <c r="CP9" s="111"/>
      <c r="CR9" s="111"/>
      <c r="CS9" s="111"/>
      <c r="CT9" s="111"/>
      <c r="CU9" s="111"/>
    </row>
    <row r="10" spans="1:112" s="193" customFormat="1" ht="15" customHeight="1">
      <c r="B10" s="192"/>
      <c r="C10" s="192"/>
      <c r="F10" s="329"/>
      <c r="G10" s="329"/>
      <c r="H10" s="329"/>
      <c r="I10" s="330" t="s">
        <v>1144</v>
      </c>
      <c r="J10" s="328"/>
      <c r="K10" s="329"/>
      <c r="L10" s="329"/>
      <c r="M10" s="329"/>
      <c r="N10" s="329"/>
      <c r="O10" s="329"/>
      <c r="P10" s="274"/>
      <c r="Q10" s="259"/>
      <c r="R10" s="259"/>
      <c r="S10" s="259"/>
      <c r="T10" s="259"/>
      <c r="U10" s="259"/>
      <c r="V10" s="327" t="s">
        <v>1052</v>
      </c>
      <c r="W10" s="259"/>
      <c r="X10" s="259"/>
      <c r="Y10" s="259"/>
      <c r="Z10" s="259"/>
      <c r="AA10" s="259"/>
      <c r="AB10" s="277"/>
      <c r="AC10" s="274"/>
      <c r="AD10" s="253" t="s">
        <v>1070</v>
      </c>
      <c r="AE10" s="253"/>
      <c r="AF10" s="194"/>
      <c r="AG10" s="194"/>
      <c r="AH10" s="252" t="s">
        <v>1002</v>
      </c>
      <c r="AI10" s="252"/>
      <c r="AJ10" s="255" t="s">
        <v>1121</v>
      </c>
      <c r="AK10" s="254"/>
      <c r="AL10" s="279" t="s">
        <v>42</v>
      </c>
      <c r="AM10" s="251"/>
      <c r="AN10" s="251"/>
      <c r="AO10" s="251"/>
      <c r="AP10" s="251"/>
      <c r="AQ10" s="251"/>
      <c r="AR10" s="251"/>
      <c r="AS10" s="251"/>
      <c r="AT10" s="251"/>
      <c r="AU10" s="251"/>
      <c r="AV10" s="251"/>
      <c r="AW10" s="251"/>
      <c r="AX10" s="280" t="s">
        <v>1003</v>
      </c>
      <c r="AY10" s="250"/>
      <c r="AZ10" s="250"/>
      <c r="BA10" s="250"/>
      <c r="BB10" s="250"/>
      <c r="BC10" s="250"/>
      <c r="BD10" s="250"/>
      <c r="BE10" s="250"/>
      <c r="BF10" s="250"/>
      <c r="BG10" s="250"/>
      <c r="BH10" s="250"/>
      <c r="BI10" s="250"/>
      <c r="BJ10" s="250"/>
      <c r="BK10" s="250"/>
      <c r="BL10" s="250"/>
      <c r="BM10" s="250"/>
      <c r="BN10" s="195"/>
      <c r="BO10" s="196"/>
      <c r="BP10" s="196"/>
      <c r="BQ10" s="196"/>
      <c r="BR10" s="197"/>
      <c r="BS10" s="197"/>
      <c r="BT10" s="195"/>
      <c r="BU10" s="249"/>
      <c r="BV10" s="249"/>
      <c r="BW10" s="249" t="s">
        <v>729</v>
      </c>
      <c r="BX10" s="249"/>
      <c r="BY10" s="249"/>
      <c r="BZ10" s="249"/>
      <c r="CA10" s="249"/>
      <c r="CB10" s="249"/>
      <c r="CC10" s="198"/>
      <c r="CD10" s="198"/>
      <c r="CE10" s="198"/>
      <c r="CF10" s="198"/>
      <c r="CG10" s="198"/>
      <c r="CS10" s="199"/>
      <c r="CU10" s="200"/>
      <c r="DH10" s="201"/>
    </row>
    <row r="11" spans="1:112" s="189" customFormat="1" ht="41.25" customHeight="1">
      <c r="A11" s="179" t="s">
        <v>0</v>
      </c>
      <c r="B11" s="179" t="s">
        <v>25</v>
      </c>
      <c r="C11" s="179" t="s">
        <v>1013</v>
      </c>
      <c r="D11" s="180" t="s">
        <v>46</v>
      </c>
      <c r="E11" s="181" t="s">
        <v>3</v>
      </c>
      <c r="F11" s="243" t="str">
        <f>IF($A$7="","",Cadastro!$AI$3)</f>
        <v>Excesso de cola</v>
      </c>
      <c r="G11" s="243" t="str">
        <f>IF($A$7="","",Cadastro!$AI$4)</f>
        <v>Falha do furo</v>
      </c>
      <c r="H11" s="243" t="str">
        <f>IF($A$7="","",Cadastro!$AI$5)</f>
        <v>Falta de clip</v>
      </c>
      <c r="I11" s="243" t="str">
        <f>IF($A$7="","",Cadastro!$AI$6)</f>
        <v>Falta de cola</v>
      </c>
      <c r="J11" s="243" t="str">
        <f>IF($A$7="","",Cadastro!$AI$7)</f>
        <v>Perfil rasgado</v>
      </c>
      <c r="K11" s="243" t="str">
        <f>IF($A$7="","",Cadastro!$AI$8)</f>
        <v/>
      </c>
      <c r="L11" s="243" t="str">
        <f>IF($A$7="","",Cadastro!$AI$9)</f>
        <v/>
      </c>
      <c r="M11" s="243" t="str">
        <f>IF($A$7="","",Cadastro!$AI$10)</f>
        <v/>
      </c>
      <c r="N11" s="243" t="str">
        <f>IF($A$7="","",Cadastro!$AI$11)</f>
        <v/>
      </c>
      <c r="O11" s="243" t="str">
        <f>IF($A$7="","",Cadastro!$AI$12)</f>
        <v/>
      </c>
      <c r="P11" s="209" t="s">
        <v>45</v>
      </c>
      <c r="Q11" s="211" t="str">
        <f>IF($A$7="","",Cadastro!$AF$3)</f>
        <v>Bolha</v>
      </c>
      <c r="R11" s="211" t="str">
        <f>IF($A$7="","",Cadastro!$AF$4)</f>
        <v>Escape Trav. Maq</v>
      </c>
      <c r="S11" s="211" t="str">
        <f>IF($A$7="","",Cadastro!$AF$5)</f>
        <v>Excesso de cola</v>
      </c>
      <c r="T11" s="211" t="str">
        <f>IF($A$7="","",Cadastro!$AF$6)</f>
        <v>Falha do furo</v>
      </c>
      <c r="U11" s="211" t="str">
        <f>IF($A$7="","",Cadastro!$AF$7)</f>
        <v>Falha no sensor de emenda</v>
      </c>
      <c r="V11" s="211" t="str">
        <f>IF($A$7="","",Cadastro!$AF$8)</f>
        <v>Falta de clip</v>
      </c>
      <c r="W11" s="211" t="str">
        <f>IF($A$7="","",Cadastro!$AF$9)</f>
        <v>Falta de cola</v>
      </c>
      <c r="X11" s="211" t="str">
        <f>IF($A$7="","",Cadastro!$AF$10)</f>
        <v>Perfil rasgado</v>
      </c>
      <c r="Y11" s="211" t="str">
        <f>IF($A$7="","",Cadastro!$AF$11)</f>
        <v>Queda de energia</v>
      </c>
      <c r="Z11" s="211" t="str">
        <f>IF($A$7="","",Cadastro!$AF$12)</f>
        <v>Outros</v>
      </c>
      <c r="AA11" s="212" t="s">
        <v>427</v>
      </c>
      <c r="AB11" s="212" t="s">
        <v>1049</v>
      </c>
      <c r="AC11" s="182" t="s">
        <v>1051</v>
      </c>
      <c r="AD11" s="182" t="s">
        <v>727</v>
      </c>
      <c r="AE11" s="180" t="s">
        <v>723</v>
      </c>
      <c r="AF11" s="180" t="s">
        <v>9</v>
      </c>
      <c r="AG11" s="180" t="s">
        <v>10</v>
      </c>
      <c r="AH11" s="179" t="s">
        <v>5</v>
      </c>
      <c r="AI11" s="179" t="s">
        <v>1</v>
      </c>
      <c r="AJ11" s="179" t="s">
        <v>5</v>
      </c>
      <c r="AK11" s="179" t="s">
        <v>1</v>
      </c>
      <c r="AL11" s="179" t="s">
        <v>5</v>
      </c>
      <c r="AM11" s="179" t="s">
        <v>1</v>
      </c>
      <c r="AN11" s="179" t="s">
        <v>18</v>
      </c>
      <c r="AO11" s="179" t="s">
        <v>5</v>
      </c>
      <c r="AP11" s="179" t="s">
        <v>1</v>
      </c>
      <c r="AQ11" s="179" t="s">
        <v>18</v>
      </c>
      <c r="AR11" s="179" t="s">
        <v>5</v>
      </c>
      <c r="AS11" s="179" t="s">
        <v>1</v>
      </c>
      <c r="AT11" s="179" t="s">
        <v>18</v>
      </c>
      <c r="AU11" s="179" t="s">
        <v>5</v>
      </c>
      <c r="AV11" s="179" t="s">
        <v>1</v>
      </c>
      <c r="AW11" s="179" t="s">
        <v>18</v>
      </c>
      <c r="AX11" s="183" t="s">
        <v>5</v>
      </c>
      <c r="AY11" s="183" t="s">
        <v>1</v>
      </c>
      <c r="AZ11" s="179" t="s">
        <v>914</v>
      </c>
      <c r="BA11" s="179" t="s">
        <v>18</v>
      </c>
      <c r="BB11" s="183" t="s">
        <v>5</v>
      </c>
      <c r="BC11" s="183" t="s">
        <v>1</v>
      </c>
      <c r="BD11" s="179" t="s">
        <v>914</v>
      </c>
      <c r="BE11" s="179" t="s">
        <v>18</v>
      </c>
      <c r="BF11" s="183" t="s">
        <v>5</v>
      </c>
      <c r="BG11" s="183" t="s">
        <v>1</v>
      </c>
      <c r="BH11" s="179" t="s">
        <v>914</v>
      </c>
      <c r="BI11" s="179" t="s">
        <v>18</v>
      </c>
      <c r="BJ11" s="183" t="s">
        <v>5</v>
      </c>
      <c r="BK11" s="183" t="s">
        <v>1</v>
      </c>
      <c r="BL11" s="179" t="s">
        <v>914</v>
      </c>
      <c r="BM11" s="179" t="s">
        <v>18</v>
      </c>
      <c r="BN11" s="184" t="s">
        <v>717</v>
      </c>
      <c r="BO11" s="184" t="s">
        <v>718</v>
      </c>
      <c r="BP11" s="184" t="s">
        <v>719</v>
      </c>
      <c r="BQ11" s="184" t="s">
        <v>750</v>
      </c>
      <c r="BR11" s="184" t="s">
        <v>721</v>
      </c>
      <c r="BS11" s="184" t="s">
        <v>1050</v>
      </c>
      <c r="BT11" s="202" t="s">
        <v>52</v>
      </c>
      <c r="BU11" s="357" t="s">
        <v>1054</v>
      </c>
      <c r="BV11" s="358"/>
      <c r="BW11" s="217" t="s">
        <v>728</v>
      </c>
      <c r="BX11" s="218" t="s">
        <v>1069</v>
      </c>
      <c r="BY11" s="352" t="s">
        <v>726</v>
      </c>
      <c r="BZ11" s="353"/>
      <c r="CA11" s="352" t="s">
        <v>668</v>
      </c>
      <c r="CB11" s="353"/>
      <c r="CC11" s="185"/>
      <c r="CD11" s="320" t="s">
        <v>1127</v>
      </c>
      <c r="CE11" s="321" t="s">
        <v>1125</v>
      </c>
      <c r="CF11" s="186"/>
      <c r="CG11" s="267" t="s">
        <v>1136</v>
      </c>
      <c r="CH11" s="186"/>
      <c r="CI11" s="221" t="s">
        <v>2</v>
      </c>
      <c r="CJ11" s="222" t="s">
        <v>21</v>
      </c>
      <c r="CK11" s="222" t="s">
        <v>22</v>
      </c>
      <c r="CL11" s="222" t="s">
        <v>23</v>
      </c>
      <c r="CM11" s="222" t="s">
        <v>15</v>
      </c>
      <c r="CN11" s="222" t="s">
        <v>717</v>
      </c>
      <c r="CO11" s="222" t="s">
        <v>718</v>
      </c>
      <c r="CP11" s="222" t="s">
        <v>719</v>
      </c>
      <c r="CQ11" s="222" t="s">
        <v>720</v>
      </c>
      <c r="CR11" s="222" t="s">
        <v>721</v>
      </c>
      <c r="CS11" s="222" t="s">
        <v>24</v>
      </c>
      <c r="CT11" s="188"/>
      <c r="CU11" s="186"/>
      <c r="CW11" s="187" t="s">
        <v>722</v>
      </c>
      <c r="CY11" s="190" t="s">
        <v>1020</v>
      </c>
      <c r="CZ11" s="190" t="s">
        <v>1021</v>
      </c>
      <c r="DA11" s="190" t="s">
        <v>1022</v>
      </c>
      <c r="DB11" s="190" t="s">
        <v>1023</v>
      </c>
      <c r="DC11" s="190" t="s">
        <v>1024</v>
      </c>
      <c r="DD11" s="190" t="s">
        <v>1025</v>
      </c>
      <c r="DE11" s="190" t="s">
        <v>1026</v>
      </c>
      <c r="DF11" s="190" t="s">
        <v>1027</v>
      </c>
    </row>
    <row r="12" spans="1:112" ht="15" customHeight="1">
      <c r="A12" s="157" t="s">
        <v>61</v>
      </c>
      <c r="B12" s="158"/>
      <c r="C12" s="159" t="s">
        <v>731</v>
      </c>
      <c r="D12" s="160">
        <v>1000</v>
      </c>
      <c r="E12" s="161" t="s">
        <v>7</v>
      </c>
      <c r="F12" s="287">
        <v>20</v>
      </c>
      <c r="G12" s="287">
        <v>30</v>
      </c>
      <c r="H12" s="287">
        <v>20</v>
      </c>
      <c r="I12" s="287"/>
      <c r="J12" s="287"/>
      <c r="K12" s="287"/>
      <c r="L12" s="287"/>
      <c r="M12" s="287"/>
      <c r="N12" s="287"/>
      <c r="O12" s="287"/>
      <c r="P12" s="210">
        <f>IF(A12="","",F12+G12+H12+I12+J12+K12+L12+M12+N12+O12)</f>
        <v>70</v>
      </c>
      <c r="Q12" s="288"/>
      <c r="R12" s="288"/>
      <c r="S12" s="288"/>
      <c r="T12" s="288"/>
      <c r="U12" s="288"/>
      <c r="V12" s="288">
        <v>2</v>
      </c>
      <c r="W12" s="288">
        <v>1</v>
      </c>
      <c r="X12" s="288"/>
      <c r="Y12" s="288"/>
      <c r="Z12" s="288"/>
      <c r="AA12" s="289"/>
      <c r="AB12" s="210">
        <f>IF(A12="","",Q12+R12+S12+T12+U12+V12+W12+X12+Y12+Z12+AA12)</f>
        <v>3</v>
      </c>
      <c r="AC12" s="278">
        <f>IFERROR(P12+AB12,"")</f>
        <v>73</v>
      </c>
      <c r="AD12" s="162"/>
      <c r="AE12" s="163"/>
      <c r="AF12" s="191">
        <f t="shared" ref="AF12:AF31" si="0">IF(A12="","",IF(D12="","0",D12-AC12))</f>
        <v>927</v>
      </c>
      <c r="AG12" s="164" t="s">
        <v>11</v>
      </c>
      <c r="AH12" s="165">
        <v>0.25</v>
      </c>
      <c r="AI12" s="165">
        <v>0.625</v>
      </c>
      <c r="AJ12" s="166"/>
      <c r="AK12" s="166"/>
      <c r="AL12" s="167"/>
      <c r="AM12" s="167"/>
      <c r="AN12" s="168"/>
      <c r="AO12" s="167"/>
      <c r="AP12" s="167"/>
      <c r="AQ12" s="168"/>
      <c r="AR12" s="167"/>
      <c r="AS12" s="167"/>
      <c r="AT12" s="168"/>
      <c r="AU12" s="167"/>
      <c r="AV12" s="167"/>
      <c r="AW12" s="168"/>
      <c r="AX12" s="169">
        <v>0.25</v>
      </c>
      <c r="AY12" s="170">
        <v>0.33333333333333331</v>
      </c>
      <c r="AZ12" s="171" t="s">
        <v>908</v>
      </c>
      <c r="BA12" s="168" t="s">
        <v>893</v>
      </c>
      <c r="BB12" s="169"/>
      <c r="BC12" s="170"/>
      <c r="BD12" s="171"/>
      <c r="BE12" s="168"/>
      <c r="BF12" s="169"/>
      <c r="BG12" s="170"/>
      <c r="BH12" s="171"/>
      <c r="BI12" s="168"/>
      <c r="BJ12" s="169"/>
      <c r="BK12" s="170"/>
      <c r="BL12" s="171"/>
      <c r="BM12" s="168"/>
      <c r="BN12" s="172">
        <f t="shared" ref="BN12:BN31" si="1">IFERROR(IF(A12="","",IF(B12="SIM",(AK12-AJ12)/2,(AK12-AJ12))),"")</f>
        <v>0</v>
      </c>
      <c r="BO12" s="173">
        <f t="shared" ref="BO12:BO31" si="2">IFERROR(IF(A12="","",IF(B12="SIM",SUM((AM12-AL12)+(AP12-AO12)+(AS12-AR12)+(AV12-AU12))/2,SUM((AM12-AL12)+(AP12-AO12)+(AS12-AR12)+(AV12-AU12)))),"")</f>
        <v>0</v>
      </c>
      <c r="BP12" s="174">
        <f t="shared" ref="BP12:BP31" si="3">IFERROR(IF(A12="","",IF(B12="SIM",SUM((AY12-AX12)+(BC12-BB12)+(BG12-BF12)+(BK12-BJ12))/2,SUM((AY12-AX12)+(BC12-BB12)+(BG12-BF12)+(BK12-BJ12)))),"")</f>
        <v>8.3333333333333315E-2</v>
      </c>
      <c r="BQ12" s="175" t="str">
        <f t="shared" ref="BQ12:BQ31" si="4">IFERROR(IF(A12="","",IF(A12="Sem Demanda",(AI12-AH12),"0:00")),"")</f>
        <v>0:00</v>
      </c>
      <c r="BR12" s="176">
        <f>IF(C12&lt;&gt;"",IF(C12&lt;&gt;"Retrabalho",IF(A12="","",IF(B12="",(AI12-AH12)-(SUM(BN12:BQ12)),(AI12-AH12)/2-(SUM(BN12:BQ12)))),"0:00"),"0:00")</f>
        <v>0.29166666666666669</v>
      </c>
      <c r="BS12" s="177" t="str">
        <f t="shared" ref="BS12:BS31" si="5">IF(A12="","",IF(C12="Retrabalho",IF(B12="",(AI12-AH12),(AI12-AH12)/2),"0:00"))</f>
        <v>0:00</v>
      </c>
      <c r="BT12" s="178"/>
      <c r="BU12" s="354"/>
      <c r="BV12" s="355"/>
      <c r="BW12" s="216"/>
      <c r="BX12" s="281" t="str">
        <f>IFERROR(VLOOKUP(BU12,Cadastro!$O$3:$P$499,2,0),"")</f>
        <v/>
      </c>
      <c r="BY12" s="350"/>
      <c r="BZ12" s="351"/>
      <c r="CA12" s="350"/>
      <c r="CB12" s="351"/>
      <c r="CC12" s="19"/>
      <c r="CD12" s="322">
        <f>IFERROR(VLOOKUP(Apontamentos!A12,CT!C2:E1000,3,0),"")</f>
        <v>24</v>
      </c>
      <c r="CE12" s="323">
        <f>IFERROR(((BR12*24)*3600)/CD12,"")</f>
        <v>1050</v>
      </c>
      <c r="CF12" s="8"/>
      <c r="CG12" s="268" t="str">
        <f t="shared" ref="CG12:CG31" si="6">IF(AND(A12="Devolucao",OR(BU12="O-208",BU12="O-209")),"UN","")</f>
        <v/>
      </c>
      <c r="CH12" s="18"/>
      <c r="CI12" s="223" t="str">
        <f>IF(Cadastro!$Z$3="","",Cadastro!$Z$3)</f>
        <v>Maquina 1</v>
      </c>
      <c r="CJ12" s="224">
        <f t="shared" ref="CJ12:CJ31" si="7">IFERROR((SUMIF($C$12:$C$31,CI12,$AC$12:$AC$31))/(SUMIF($C$12:$C$31,CI12,$D$12:$D$31)),"")</f>
        <v>7.1568627450980388E-2</v>
      </c>
      <c r="CK12" s="10">
        <f t="shared" ref="CK12:CK31" si="8">$BP$3</f>
        <v>0.40833333333333338</v>
      </c>
      <c r="CL12" s="22" t="str">
        <f>IFERROR(IF($CJ$4=TRUE,VLOOKUP(CI12,$BU$2:$BV$9,2,0),"0:00"),"")</f>
        <v>0:00</v>
      </c>
      <c r="CM12" s="11">
        <f>(CK12+CL12)-CQ12</f>
        <v>0.40833333333333338</v>
      </c>
      <c r="CN12" s="14">
        <f t="shared" ref="CN12:CN31" si="9">IFERROR(SUMIF($C$12:$C$31,$CI12,$BN$12:$BN$31),"")</f>
        <v>0</v>
      </c>
      <c r="CO12" s="12">
        <f t="shared" ref="CO12:CO31" si="10">IFERROR(SUMIF($C$12:$C$31,$CI12,$BO$12:$BO$31),"")</f>
        <v>0</v>
      </c>
      <c r="CP12" s="13">
        <f t="shared" ref="CP12:CP31" si="11">IFERROR(SUMIF($C$12:$C$31,$CI12,$BP$12:$BP$31),"")</f>
        <v>8.3333333333333315E-2</v>
      </c>
      <c r="CQ12" s="16">
        <f t="shared" ref="CQ12:CQ31" si="12">IFERROR(SUMIF($C$12:$C$31,$CI12,$BQ$12:$BQ$31),"")</f>
        <v>0</v>
      </c>
      <c r="CR12" s="225">
        <f t="shared" ref="CR12:CR31" si="13">IFERROR(SUMIFS($BR$12:$BR$31,$C$12:$C$31,$CI12,$A$12:$A$31,"&lt;&gt;Sem Demanda"),"")</f>
        <v>0.32500000000000001</v>
      </c>
      <c r="CS12" s="11">
        <f>CK12+CL12-(SUM(CQ12,CO12,CN12,CP12,CR12))</f>
        <v>0</v>
      </c>
      <c r="CT12" s="220" t="str">
        <f>IFERROR(IF(CI12="","",IF(CS12&gt;0,"Falta Apontamento",IF(CS12&lt;0,"Apontamento em Excesso","Apontamento Correto"))),"")</f>
        <v>Apontamento Correto</v>
      </c>
      <c r="CU12" s="8"/>
      <c r="CW12" s="15" t="s">
        <v>321</v>
      </c>
      <c r="CY12" s="88" t="str">
        <f>IFERROR(VLOOKUP(BA12,Cadastro!$S$3:$S$366,1,0),"")</f>
        <v>Parada Utilidades</v>
      </c>
      <c r="CZ12" s="89" t="str">
        <f>IFERROR(VLOOKUP(BE12,Cadastro!$S$3:$S$366,1,0),"")</f>
        <v/>
      </c>
      <c r="DA12" s="89" t="str">
        <f>IFERROR(VLOOKUP(BI12,Cadastro!$S$3:$S$366,1,0),"")</f>
        <v/>
      </c>
      <c r="DB12" s="89" t="str">
        <f>IFERROR(VLOOKUP(BM12,Cadastro!$S$3:$S$366,1,0),"")</f>
        <v/>
      </c>
      <c r="DC12" s="90" t="str">
        <f t="shared" ref="DC12:DC31" si="14">IFERROR(VLOOKUP(AZ12,$CT$2:$CT$8,1,0),"")</f>
        <v>Queda De Energia</v>
      </c>
      <c r="DD12" s="90" t="str">
        <f t="shared" ref="DD12:DD31" si="15">IFERROR(VLOOKUP(BD12,$CT$2:$CT$8,1,0),"")</f>
        <v/>
      </c>
      <c r="DE12" s="90" t="str">
        <f t="shared" ref="DE12:DE31" si="16">IFERROR(VLOOKUP(BH12,$CT$2:$CT$8,1,0),"")</f>
        <v/>
      </c>
      <c r="DF12" s="90" t="str">
        <f t="shared" ref="DF12:DF31" si="17">IFERROR(VLOOKUP(BL12,$CT$2:$CT$8,1,0),"")</f>
        <v/>
      </c>
    </row>
    <row r="13" spans="1:112" ht="15" customHeight="1">
      <c r="A13" s="157" t="s">
        <v>62</v>
      </c>
      <c r="B13" s="158"/>
      <c r="C13" s="159" t="s">
        <v>732</v>
      </c>
      <c r="D13" s="160">
        <v>1000</v>
      </c>
      <c r="E13" s="161" t="s">
        <v>7</v>
      </c>
      <c r="F13" s="287"/>
      <c r="G13" s="287"/>
      <c r="H13" s="287"/>
      <c r="I13" s="287"/>
      <c r="J13" s="287"/>
      <c r="K13" s="287"/>
      <c r="L13" s="287"/>
      <c r="M13" s="287"/>
      <c r="N13" s="287"/>
      <c r="O13" s="287"/>
      <c r="P13" s="210">
        <f t="shared" ref="P13:P31" si="18">IF(A13="","",F13+G13+H13+I13+J13+K13+L13+M13+N13+O13)</f>
        <v>0</v>
      </c>
      <c r="Q13" s="288"/>
      <c r="R13" s="288"/>
      <c r="S13" s="288"/>
      <c r="T13" s="288"/>
      <c r="U13" s="288"/>
      <c r="V13" s="288"/>
      <c r="W13" s="288"/>
      <c r="X13" s="288"/>
      <c r="Y13" s="288"/>
      <c r="Z13" s="288"/>
      <c r="AA13" s="289"/>
      <c r="AB13" s="210">
        <f t="shared" ref="AB13:AB31" si="19">IF(A13="","",Q13+R13+S13+T13+U13+V13+W13+X13+Y13+Z13+AA13)</f>
        <v>0</v>
      </c>
      <c r="AC13" s="278">
        <f t="shared" ref="AC13:AC20" si="20">IFERROR(P13+AB13,"")</f>
        <v>0</v>
      </c>
      <c r="AD13" s="162"/>
      <c r="AE13" s="163"/>
      <c r="AF13" s="191">
        <f t="shared" si="0"/>
        <v>1000</v>
      </c>
      <c r="AG13" s="164" t="s">
        <v>11</v>
      </c>
      <c r="AH13" s="165">
        <v>0.25</v>
      </c>
      <c r="AI13" s="165">
        <v>0.65833333333333333</v>
      </c>
      <c r="AJ13" s="166"/>
      <c r="AK13" s="166"/>
      <c r="AL13" s="167"/>
      <c r="AM13" s="167"/>
      <c r="AN13" s="168"/>
      <c r="AO13" s="167"/>
      <c r="AP13" s="167"/>
      <c r="AQ13" s="168"/>
      <c r="AR13" s="167"/>
      <c r="AS13" s="167"/>
      <c r="AT13" s="168"/>
      <c r="AU13" s="167"/>
      <c r="AV13" s="167"/>
      <c r="AW13" s="168"/>
      <c r="AX13" s="169"/>
      <c r="AY13" s="170"/>
      <c r="AZ13" s="171"/>
      <c r="BA13" s="168"/>
      <c r="BB13" s="169"/>
      <c r="BC13" s="170"/>
      <c r="BD13" s="171"/>
      <c r="BE13" s="168"/>
      <c r="BF13" s="169"/>
      <c r="BG13" s="170"/>
      <c r="BH13" s="171"/>
      <c r="BI13" s="168"/>
      <c r="BJ13" s="169"/>
      <c r="BK13" s="170"/>
      <c r="BL13" s="171"/>
      <c r="BM13" s="168"/>
      <c r="BN13" s="172">
        <f t="shared" si="1"/>
        <v>0</v>
      </c>
      <c r="BO13" s="173">
        <f t="shared" si="2"/>
        <v>0</v>
      </c>
      <c r="BP13" s="174">
        <f t="shared" si="3"/>
        <v>0</v>
      </c>
      <c r="BQ13" s="175" t="str">
        <f t="shared" si="4"/>
        <v>0:00</v>
      </c>
      <c r="BR13" s="176">
        <f t="shared" ref="BR13:BR31" si="21">IF(C13&lt;&gt;"Retrabalho",IF(A13="","",IF(B13="",(AI13-AH13)-(SUM(BN13:BQ13)),(AI13-AH13)/2-(SUM(BN13:BQ13)))),"0:00")</f>
        <v>0.40833333333333333</v>
      </c>
      <c r="BS13" s="177" t="str">
        <f t="shared" si="5"/>
        <v>0:00</v>
      </c>
      <c r="BT13" s="178"/>
      <c r="BU13" s="354"/>
      <c r="BV13" s="355"/>
      <c r="BW13" s="216"/>
      <c r="BX13" s="281" t="str">
        <f>IFERROR(VLOOKUP(BU13,Cadastro!$O$3:$P$499,2,0),"")</f>
        <v/>
      </c>
      <c r="BY13" s="350"/>
      <c r="BZ13" s="351"/>
      <c r="CA13" s="350"/>
      <c r="CB13" s="351"/>
      <c r="CC13" s="19"/>
      <c r="CD13" s="322">
        <f>IFERROR(VLOOKUP(Apontamentos!A13,CT!C3:E1001,3,0),"")</f>
        <v>24</v>
      </c>
      <c r="CE13" s="323">
        <f t="shared" ref="CE13:CE31" si="22">IFERROR(((BR13*24)*3600)/CD13,"")</f>
        <v>1470</v>
      </c>
      <c r="CF13" s="8"/>
      <c r="CG13" s="268" t="str">
        <f t="shared" si="6"/>
        <v/>
      </c>
      <c r="CH13" s="18"/>
      <c r="CI13" s="223" t="str">
        <f>IF(Cadastro!$Z$4="","",Cadastro!$Z$4)</f>
        <v>Maquina 2</v>
      </c>
      <c r="CJ13" s="224">
        <f t="shared" si="7"/>
        <v>0</v>
      </c>
      <c r="CK13" s="10">
        <f t="shared" si="8"/>
        <v>0.40833333333333338</v>
      </c>
      <c r="CL13" s="22" t="str">
        <f t="shared" ref="CL13:CL19" si="23">IFERROR(IF($CJ$4=TRUE,VLOOKUP(CI13,$BU$2:$BV$9,2,0),"0:00"),"")</f>
        <v>0:00</v>
      </c>
      <c r="CM13" s="11">
        <f t="shared" ref="CM13:CM29" si="24">(CK13+CL13)-CQ13</f>
        <v>0.40833333333333338</v>
      </c>
      <c r="CN13" s="14">
        <f t="shared" si="9"/>
        <v>0</v>
      </c>
      <c r="CO13" s="12">
        <f t="shared" si="10"/>
        <v>0</v>
      </c>
      <c r="CP13" s="13">
        <f t="shared" si="11"/>
        <v>0</v>
      </c>
      <c r="CQ13" s="16">
        <f t="shared" si="12"/>
        <v>0</v>
      </c>
      <c r="CR13" s="225">
        <f t="shared" si="13"/>
        <v>0.40833333333333333</v>
      </c>
      <c r="CS13" s="11">
        <f t="shared" ref="CS13:CS29" si="25">CK13+CL13-(SUM(CQ13,CO13,CN13,CP13,CR13))</f>
        <v>0</v>
      </c>
      <c r="CT13" s="220" t="str">
        <f t="shared" ref="CT13:CT31" si="26">IFERROR(IF(CI13="","",IF(CS13&gt;0,"Falta Apontamento",IF(CS13&lt;0,"Apontamento em Excesso","Apontamento Correto"))),"")</f>
        <v>Apontamento Correto</v>
      </c>
      <c r="CU13" s="8"/>
      <c r="CW13" s="15" t="s">
        <v>273</v>
      </c>
      <c r="CY13" s="88" t="str">
        <f>IFERROR(VLOOKUP(BA13,Cadastro!$S$3:$S$366,1,0),"")</f>
        <v/>
      </c>
      <c r="CZ13" s="89" t="str">
        <f>IFERROR(VLOOKUP(BE13,Cadastro!$S$3:$S$366,1,0),"")</f>
        <v/>
      </c>
      <c r="DA13" s="89" t="str">
        <f>IFERROR(VLOOKUP(BI13,Cadastro!$S$3:$S$366,1,0),"")</f>
        <v/>
      </c>
      <c r="DB13" s="89" t="str">
        <f>IFERROR(VLOOKUP(BM13,Cadastro!$S$3:$S$366,1,0),"")</f>
        <v/>
      </c>
      <c r="DC13" s="90" t="str">
        <f t="shared" si="14"/>
        <v/>
      </c>
      <c r="DD13" s="90" t="str">
        <f t="shared" si="15"/>
        <v/>
      </c>
      <c r="DE13" s="90" t="str">
        <f t="shared" si="16"/>
        <v/>
      </c>
      <c r="DF13" s="90" t="str">
        <f t="shared" si="17"/>
        <v/>
      </c>
    </row>
    <row r="14" spans="1:112" ht="15" customHeight="1">
      <c r="A14" s="157" t="s">
        <v>61</v>
      </c>
      <c r="B14" s="158"/>
      <c r="C14" s="159" t="s">
        <v>733</v>
      </c>
      <c r="D14" s="160">
        <v>1000</v>
      </c>
      <c r="E14" s="161" t="s">
        <v>7</v>
      </c>
      <c r="F14" s="287"/>
      <c r="G14" s="287"/>
      <c r="H14" s="287"/>
      <c r="I14" s="287"/>
      <c r="J14" s="287"/>
      <c r="K14" s="287"/>
      <c r="L14" s="287"/>
      <c r="M14" s="287"/>
      <c r="N14" s="287"/>
      <c r="O14" s="287"/>
      <c r="P14" s="210">
        <f t="shared" si="18"/>
        <v>0</v>
      </c>
      <c r="Q14" s="288"/>
      <c r="R14" s="288"/>
      <c r="S14" s="288"/>
      <c r="T14" s="288"/>
      <c r="U14" s="288"/>
      <c r="V14" s="288"/>
      <c r="W14" s="288"/>
      <c r="X14" s="288">
        <v>1</v>
      </c>
      <c r="Y14" s="288">
        <v>1</v>
      </c>
      <c r="Z14" s="288"/>
      <c r="AA14" s="289">
        <v>1</v>
      </c>
      <c r="AB14" s="210">
        <f t="shared" si="19"/>
        <v>3</v>
      </c>
      <c r="AC14" s="278">
        <f t="shared" si="20"/>
        <v>3</v>
      </c>
      <c r="AD14" s="162"/>
      <c r="AE14" s="163"/>
      <c r="AF14" s="191">
        <f t="shared" si="0"/>
        <v>997</v>
      </c>
      <c r="AG14" s="164" t="s">
        <v>12</v>
      </c>
      <c r="AH14" s="165">
        <v>0.25</v>
      </c>
      <c r="AI14" s="165">
        <v>0.65833333333333333</v>
      </c>
      <c r="AJ14" s="166"/>
      <c r="AK14" s="166"/>
      <c r="AL14" s="167"/>
      <c r="AM14" s="167"/>
      <c r="AN14" s="168"/>
      <c r="AO14" s="167"/>
      <c r="AP14" s="167"/>
      <c r="AQ14" s="168"/>
      <c r="AR14" s="167"/>
      <c r="AS14" s="167"/>
      <c r="AT14" s="168"/>
      <c r="AU14" s="167"/>
      <c r="AV14" s="167"/>
      <c r="AW14" s="168"/>
      <c r="AX14" s="169"/>
      <c r="AY14" s="170"/>
      <c r="AZ14" s="171"/>
      <c r="BA14" s="168"/>
      <c r="BB14" s="169"/>
      <c r="BC14" s="170"/>
      <c r="BD14" s="171"/>
      <c r="BE14" s="168"/>
      <c r="BF14" s="169"/>
      <c r="BG14" s="170"/>
      <c r="BH14" s="171"/>
      <c r="BI14" s="168"/>
      <c r="BJ14" s="169"/>
      <c r="BK14" s="170"/>
      <c r="BL14" s="171"/>
      <c r="BM14" s="168"/>
      <c r="BN14" s="172">
        <f t="shared" si="1"/>
        <v>0</v>
      </c>
      <c r="BO14" s="173">
        <f t="shared" si="2"/>
        <v>0</v>
      </c>
      <c r="BP14" s="174">
        <f t="shared" si="3"/>
        <v>0</v>
      </c>
      <c r="BQ14" s="175" t="str">
        <f t="shared" si="4"/>
        <v>0:00</v>
      </c>
      <c r="BR14" s="176">
        <f t="shared" si="21"/>
        <v>0.40833333333333333</v>
      </c>
      <c r="BS14" s="177" t="str">
        <f t="shared" si="5"/>
        <v>0:00</v>
      </c>
      <c r="BT14" s="178"/>
      <c r="BU14" s="354"/>
      <c r="BV14" s="355"/>
      <c r="BW14" s="216"/>
      <c r="BX14" s="281" t="str">
        <f>IFERROR(VLOOKUP(BU14,Cadastro!$O$3:$P$499,2,0),"")</f>
        <v/>
      </c>
      <c r="BY14" s="350"/>
      <c r="BZ14" s="351"/>
      <c r="CA14" s="350"/>
      <c r="CB14" s="351"/>
      <c r="CC14" s="19"/>
      <c r="CD14" s="322">
        <f>IFERROR(VLOOKUP(Apontamentos!A14,CT!C4:E1002,3,0),"")</f>
        <v>24</v>
      </c>
      <c r="CE14" s="323">
        <f t="shared" si="22"/>
        <v>1470</v>
      </c>
      <c r="CF14" s="8"/>
      <c r="CG14" s="268" t="str">
        <f t="shared" si="6"/>
        <v/>
      </c>
      <c r="CH14" s="18"/>
      <c r="CI14" s="223" t="str">
        <f>IF(Cadastro!$Z$5="","",Cadastro!$Z$5)</f>
        <v>Maquina 3</v>
      </c>
      <c r="CJ14" s="224">
        <f t="shared" si="7"/>
        <v>3.0000000000000001E-3</v>
      </c>
      <c r="CK14" s="10">
        <f t="shared" si="8"/>
        <v>0.40833333333333338</v>
      </c>
      <c r="CL14" s="22" t="str">
        <f t="shared" si="23"/>
        <v>0:00</v>
      </c>
      <c r="CM14" s="11">
        <f t="shared" si="24"/>
        <v>0.40833333333333338</v>
      </c>
      <c r="CN14" s="14">
        <f t="shared" si="9"/>
        <v>0</v>
      </c>
      <c r="CO14" s="12">
        <f t="shared" si="10"/>
        <v>0</v>
      </c>
      <c r="CP14" s="13">
        <f t="shared" si="11"/>
        <v>0</v>
      </c>
      <c r="CQ14" s="16">
        <f t="shared" si="12"/>
        <v>0</v>
      </c>
      <c r="CR14" s="225">
        <f t="shared" si="13"/>
        <v>0.40833333333333333</v>
      </c>
      <c r="CS14" s="11">
        <f t="shared" si="25"/>
        <v>0</v>
      </c>
      <c r="CT14" s="220" t="str">
        <f t="shared" si="26"/>
        <v>Apontamento Correto</v>
      </c>
      <c r="CU14" s="8"/>
      <c r="CW14" s="15" t="s">
        <v>272</v>
      </c>
      <c r="CY14" s="88" t="str">
        <f>IFERROR(VLOOKUP(BA14,Cadastro!$S$3:$S$366,1,0),"")</f>
        <v/>
      </c>
      <c r="CZ14" s="89" t="str">
        <f>IFERROR(VLOOKUP(BE14,Cadastro!$S$3:$S$366,1,0),"")</f>
        <v/>
      </c>
      <c r="DA14" s="89" t="str">
        <f>IFERROR(VLOOKUP(BI14,Cadastro!$S$3:$S$366,1,0),"")</f>
        <v/>
      </c>
      <c r="DB14" s="89" t="str">
        <f>IFERROR(VLOOKUP(BM14,Cadastro!$S$3:$S$366,1,0),"")</f>
        <v/>
      </c>
      <c r="DC14" s="90" t="str">
        <f t="shared" si="14"/>
        <v/>
      </c>
      <c r="DD14" s="90" t="str">
        <f t="shared" si="15"/>
        <v/>
      </c>
      <c r="DE14" s="90" t="str">
        <f t="shared" si="16"/>
        <v/>
      </c>
      <c r="DF14" s="90" t="str">
        <f t="shared" si="17"/>
        <v/>
      </c>
    </row>
    <row r="15" spans="1:112" ht="15" customHeight="1">
      <c r="A15" s="157" t="s">
        <v>64</v>
      </c>
      <c r="B15" s="158"/>
      <c r="C15" s="159" t="s">
        <v>734</v>
      </c>
      <c r="D15" s="160">
        <v>1100</v>
      </c>
      <c r="E15" s="161" t="s">
        <v>7</v>
      </c>
      <c r="F15" s="287"/>
      <c r="G15" s="287"/>
      <c r="H15" s="287"/>
      <c r="I15" s="287"/>
      <c r="J15" s="287"/>
      <c r="K15" s="287"/>
      <c r="L15" s="287">
        <v>1</v>
      </c>
      <c r="M15" s="287">
        <v>2</v>
      </c>
      <c r="N15" s="287"/>
      <c r="O15" s="287"/>
      <c r="P15" s="210">
        <f t="shared" si="18"/>
        <v>3</v>
      </c>
      <c r="Q15" s="288"/>
      <c r="R15" s="288"/>
      <c r="S15" s="288"/>
      <c r="T15" s="288"/>
      <c r="U15" s="288"/>
      <c r="V15" s="288"/>
      <c r="W15" s="288"/>
      <c r="X15" s="288"/>
      <c r="Y15" s="288"/>
      <c r="Z15" s="288"/>
      <c r="AA15" s="289"/>
      <c r="AB15" s="210">
        <f t="shared" si="19"/>
        <v>0</v>
      </c>
      <c r="AC15" s="278">
        <f t="shared" si="20"/>
        <v>3</v>
      </c>
      <c r="AD15" s="162"/>
      <c r="AE15" s="163"/>
      <c r="AF15" s="191">
        <f t="shared" si="0"/>
        <v>1097</v>
      </c>
      <c r="AG15" s="164" t="s">
        <v>11</v>
      </c>
      <c r="AH15" s="165">
        <v>0.25</v>
      </c>
      <c r="AI15" s="165">
        <v>0.65833333333333333</v>
      </c>
      <c r="AJ15" s="166"/>
      <c r="AK15" s="166"/>
      <c r="AL15" s="167"/>
      <c r="AM15" s="167"/>
      <c r="AN15" s="168"/>
      <c r="AO15" s="167"/>
      <c r="AP15" s="167"/>
      <c r="AQ15" s="168"/>
      <c r="AR15" s="167"/>
      <c r="AS15" s="167"/>
      <c r="AT15" s="168"/>
      <c r="AU15" s="167"/>
      <c r="AV15" s="167"/>
      <c r="AW15" s="168"/>
      <c r="AX15" s="169"/>
      <c r="AY15" s="170"/>
      <c r="AZ15" s="171"/>
      <c r="BA15" s="168"/>
      <c r="BB15" s="169"/>
      <c r="BC15" s="170"/>
      <c r="BD15" s="171"/>
      <c r="BE15" s="168"/>
      <c r="BF15" s="169"/>
      <c r="BG15" s="170"/>
      <c r="BH15" s="171"/>
      <c r="BI15" s="168"/>
      <c r="BJ15" s="169"/>
      <c r="BK15" s="170"/>
      <c r="BL15" s="171"/>
      <c r="BM15" s="168"/>
      <c r="BN15" s="172">
        <f t="shared" si="1"/>
        <v>0</v>
      </c>
      <c r="BO15" s="173">
        <f t="shared" si="2"/>
        <v>0</v>
      </c>
      <c r="BP15" s="174">
        <f t="shared" si="3"/>
        <v>0</v>
      </c>
      <c r="BQ15" s="175" t="str">
        <f t="shared" si="4"/>
        <v>0:00</v>
      </c>
      <c r="BR15" s="176">
        <f t="shared" si="21"/>
        <v>0.40833333333333333</v>
      </c>
      <c r="BS15" s="177" t="str">
        <f t="shared" si="5"/>
        <v>0:00</v>
      </c>
      <c r="BT15" s="178"/>
      <c r="BU15" s="354"/>
      <c r="BV15" s="355"/>
      <c r="BW15" s="332">
        <v>2</v>
      </c>
      <c r="BX15" s="281" t="str">
        <f>IFERROR(VLOOKUP(BU15,Cadastro!$O$3:$P$499,2,0),"")</f>
        <v/>
      </c>
      <c r="BY15" s="350" t="s">
        <v>1077</v>
      </c>
      <c r="BZ15" s="351"/>
      <c r="CA15" s="350"/>
      <c r="CB15" s="351"/>
      <c r="CC15" s="19"/>
      <c r="CD15" s="322">
        <f>IFERROR(VLOOKUP(Apontamentos!A15,CT!C5:E1003,3,0),"")</f>
        <v>24</v>
      </c>
      <c r="CE15" s="323">
        <f t="shared" si="22"/>
        <v>1470</v>
      </c>
      <c r="CF15" s="8"/>
      <c r="CG15" s="268" t="str">
        <f t="shared" si="6"/>
        <v/>
      </c>
      <c r="CH15" s="18"/>
      <c r="CI15" s="223" t="str">
        <f>IF(Cadastro!$Z$6="","",Cadastro!$Z$6)</f>
        <v>Maquina 4</v>
      </c>
      <c r="CJ15" s="224">
        <f t="shared" si="7"/>
        <v>2.7272727272727275E-3</v>
      </c>
      <c r="CK15" s="10">
        <f t="shared" si="8"/>
        <v>0.40833333333333338</v>
      </c>
      <c r="CL15" s="22" t="str">
        <f t="shared" si="23"/>
        <v>0:00</v>
      </c>
      <c r="CM15" s="11">
        <f t="shared" si="24"/>
        <v>0.40833333333333338</v>
      </c>
      <c r="CN15" s="14">
        <f t="shared" si="9"/>
        <v>0</v>
      </c>
      <c r="CO15" s="12">
        <f t="shared" si="10"/>
        <v>0</v>
      </c>
      <c r="CP15" s="13">
        <f t="shared" si="11"/>
        <v>0</v>
      </c>
      <c r="CQ15" s="16">
        <f t="shared" si="12"/>
        <v>0</v>
      </c>
      <c r="CR15" s="225">
        <f t="shared" si="13"/>
        <v>0.40833333333333333</v>
      </c>
      <c r="CS15" s="11">
        <f t="shared" si="25"/>
        <v>0</v>
      </c>
      <c r="CT15" s="220" t="str">
        <f t="shared" si="26"/>
        <v>Apontamento Correto</v>
      </c>
      <c r="CU15" s="8"/>
      <c r="CW15" s="15" t="s">
        <v>384</v>
      </c>
      <c r="CY15" s="88" t="str">
        <f>IFERROR(VLOOKUP(BA15,Cadastro!$S$3:$S$366,1,0),"")</f>
        <v/>
      </c>
      <c r="CZ15" s="89" t="str">
        <f>IFERROR(VLOOKUP(BE15,Cadastro!$S$3:$S$366,1,0),"")</f>
        <v/>
      </c>
      <c r="DA15" s="89" t="str">
        <f>IFERROR(VLOOKUP(BI15,Cadastro!$S$3:$S$366,1,0),"")</f>
        <v/>
      </c>
      <c r="DB15" s="89" t="str">
        <f>IFERROR(VLOOKUP(BM15,Cadastro!$S$3:$S$366,1,0),"")</f>
        <v/>
      </c>
      <c r="DC15" s="90" t="str">
        <f t="shared" si="14"/>
        <v/>
      </c>
      <c r="DD15" s="90" t="str">
        <f t="shared" si="15"/>
        <v/>
      </c>
      <c r="DE15" s="90" t="str">
        <f t="shared" si="16"/>
        <v/>
      </c>
      <c r="DF15" s="90" t="str">
        <f t="shared" si="17"/>
        <v/>
      </c>
    </row>
    <row r="16" spans="1:112" ht="15" customHeight="1">
      <c r="A16" s="157" t="s">
        <v>61</v>
      </c>
      <c r="B16" s="158"/>
      <c r="C16" s="159" t="s">
        <v>1048</v>
      </c>
      <c r="D16" s="160">
        <v>70</v>
      </c>
      <c r="E16" s="161" t="s">
        <v>7</v>
      </c>
      <c r="F16" s="287"/>
      <c r="G16" s="287"/>
      <c r="H16" s="287"/>
      <c r="I16" s="287"/>
      <c r="J16" s="287"/>
      <c r="K16" s="287"/>
      <c r="L16" s="287"/>
      <c r="M16" s="287"/>
      <c r="N16" s="287"/>
      <c r="O16" s="287"/>
      <c r="P16" s="210">
        <f t="shared" si="18"/>
        <v>0</v>
      </c>
      <c r="Q16" s="288"/>
      <c r="R16" s="288"/>
      <c r="S16" s="288">
        <v>2</v>
      </c>
      <c r="T16" s="288">
        <v>2</v>
      </c>
      <c r="U16" s="288"/>
      <c r="V16" s="288"/>
      <c r="W16" s="288"/>
      <c r="X16" s="288"/>
      <c r="Y16" s="288"/>
      <c r="Z16" s="288"/>
      <c r="AA16" s="289"/>
      <c r="AB16" s="210">
        <f>IF(A16="","",Q16+R16+S16+T16+U16+V16+W16+X16+Y16+Z16+AA16)</f>
        <v>4</v>
      </c>
      <c r="AC16" s="278">
        <f>IFERROR(P16+AB16,"")</f>
        <v>4</v>
      </c>
      <c r="AD16" s="162"/>
      <c r="AE16" s="163"/>
      <c r="AF16" s="191">
        <f t="shared" si="0"/>
        <v>66</v>
      </c>
      <c r="AG16" s="164" t="s">
        <v>11</v>
      </c>
      <c r="AH16" s="165">
        <v>0.25</v>
      </c>
      <c r="AI16" s="165">
        <v>0.27083333333333331</v>
      </c>
      <c r="AJ16" s="166"/>
      <c r="AK16" s="166"/>
      <c r="AL16" s="167"/>
      <c r="AM16" s="167"/>
      <c r="AN16" s="168"/>
      <c r="AO16" s="167"/>
      <c r="AP16" s="167"/>
      <c r="AQ16" s="168"/>
      <c r="AR16" s="167"/>
      <c r="AS16" s="167"/>
      <c r="AT16" s="168"/>
      <c r="AU16" s="167"/>
      <c r="AV16" s="167"/>
      <c r="AW16" s="168"/>
      <c r="AX16" s="169"/>
      <c r="AY16" s="170"/>
      <c r="AZ16" s="171"/>
      <c r="BA16" s="168"/>
      <c r="BB16" s="169"/>
      <c r="BC16" s="170"/>
      <c r="BD16" s="171"/>
      <c r="BE16" s="168"/>
      <c r="BF16" s="169"/>
      <c r="BG16" s="170"/>
      <c r="BH16" s="171"/>
      <c r="BI16" s="168"/>
      <c r="BJ16" s="169"/>
      <c r="BK16" s="170"/>
      <c r="BL16" s="171"/>
      <c r="BM16" s="168"/>
      <c r="BN16" s="172">
        <f t="shared" si="1"/>
        <v>0</v>
      </c>
      <c r="BO16" s="173">
        <f t="shared" si="2"/>
        <v>0</v>
      </c>
      <c r="BP16" s="174">
        <f t="shared" si="3"/>
        <v>0</v>
      </c>
      <c r="BQ16" s="175" t="str">
        <f t="shared" si="4"/>
        <v>0:00</v>
      </c>
      <c r="BR16" s="176" t="str">
        <f t="shared" si="21"/>
        <v>0:00</v>
      </c>
      <c r="BS16" s="177">
        <f t="shared" si="5"/>
        <v>2.0833333333333315E-2</v>
      </c>
      <c r="BT16" s="178"/>
      <c r="BU16" s="354"/>
      <c r="BV16" s="355"/>
      <c r="BW16" s="332">
        <v>2000</v>
      </c>
      <c r="BX16" s="281" t="str">
        <f>IFERROR(VLOOKUP(BU16,Cadastro!$O$3:$P$499,2,0),"")</f>
        <v/>
      </c>
      <c r="BY16" s="350" t="s">
        <v>752</v>
      </c>
      <c r="BZ16" s="351"/>
      <c r="CA16" s="350" t="s">
        <v>967</v>
      </c>
      <c r="CB16" s="351"/>
      <c r="CC16" s="19"/>
      <c r="CD16" s="322">
        <f>IFERROR(VLOOKUP(Apontamentos!A16,CT!C6:E1004,3,0),"")</f>
        <v>24</v>
      </c>
      <c r="CE16" s="323">
        <f>IFERROR(((BR16*24)*3600)/CD16,"")</f>
        <v>0</v>
      </c>
      <c r="CF16" s="8"/>
      <c r="CG16" s="268" t="str">
        <f t="shared" si="6"/>
        <v/>
      </c>
      <c r="CH16" s="18"/>
      <c r="CI16" s="223" t="str">
        <f>IF(Cadastro!$Z$7="","",Cadastro!$Z$7)</f>
        <v>Maquina 5</v>
      </c>
      <c r="CJ16" s="224">
        <f t="shared" si="7"/>
        <v>0</v>
      </c>
      <c r="CK16" s="10">
        <f t="shared" si="8"/>
        <v>0.40833333333333338</v>
      </c>
      <c r="CL16" s="22" t="str">
        <f t="shared" si="23"/>
        <v>0:00</v>
      </c>
      <c r="CM16" s="11">
        <f t="shared" si="24"/>
        <v>0.40833333333333338</v>
      </c>
      <c r="CN16" s="14">
        <f t="shared" si="9"/>
        <v>0</v>
      </c>
      <c r="CO16" s="12">
        <f t="shared" si="10"/>
        <v>0</v>
      </c>
      <c r="CP16" s="13">
        <f t="shared" si="11"/>
        <v>0</v>
      </c>
      <c r="CQ16" s="16">
        <f t="shared" si="12"/>
        <v>0</v>
      </c>
      <c r="CR16" s="225">
        <f t="shared" si="13"/>
        <v>0.40833333333333333</v>
      </c>
      <c r="CS16" s="11">
        <f t="shared" si="25"/>
        <v>0</v>
      </c>
      <c r="CT16" s="220" t="str">
        <f>IFERROR(IF(CI16="","",IF(CS16&gt;0,"Falta Apontamento",IF(CS16&lt;0,"Apontamento em Excesso","Apontamento Correto"))),"")</f>
        <v>Apontamento Correto</v>
      </c>
      <c r="CU16" s="8"/>
      <c r="CW16" s="15" t="s">
        <v>92</v>
      </c>
      <c r="CY16" s="88" t="str">
        <f>IFERROR(VLOOKUP(BA16,Cadastro!$S$3:$S$366,1,0),"")</f>
        <v/>
      </c>
      <c r="CZ16" s="89" t="str">
        <f>IFERROR(VLOOKUP(BE16,Cadastro!$S$3:$S$366,1,0),"")</f>
        <v/>
      </c>
      <c r="DA16" s="89" t="str">
        <f>IFERROR(VLOOKUP(BI16,Cadastro!$S$3:$S$366,1,0),"")</f>
        <v/>
      </c>
      <c r="DB16" s="89" t="str">
        <f>IFERROR(VLOOKUP(BM16,Cadastro!$S$3:$S$366,1,0),"")</f>
        <v/>
      </c>
      <c r="DC16" s="90" t="str">
        <f t="shared" si="14"/>
        <v/>
      </c>
      <c r="DD16" s="90" t="str">
        <f t="shared" si="15"/>
        <v/>
      </c>
      <c r="DE16" s="90" t="str">
        <f t="shared" si="16"/>
        <v/>
      </c>
      <c r="DF16" s="90" t="str">
        <f t="shared" si="17"/>
        <v/>
      </c>
    </row>
    <row r="17" spans="1:110" ht="15" customHeight="1">
      <c r="A17" s="157" t="s">
        <v>64</v>
      </c>
      <c r="B17" s="158"/>
      <c r="C17" s="159" t="s">
        <v>1048</v>
      </c>
      <c r="D17" s="160">
        <v>3</v>
      </c>
      <c r="E17" s="161" t="s">
        <v>7</v>
      </c>
      <c r="F17" s="287"/>
      <c r="G17" s="287"/>
      <c r="H17" s="287"/>
      <c r="I17" s="287"/>
      <c r="J17" s="287"/>
      <c r="K17" s="287"/>
      <c r="L17" s="287"/>
      <c r="M17" s="287"/>
      <c r="N17" s="287"/>
      <c r="O17" s="287"/>
      <c r="P17" s="210">
        <f t="shared" si="18"/>
        <v>0</v>
      </c>
      <c r="Q17" s="288"/>
      <c r="R17" s="288"/>
      <c r="S17" s="288"/>
      <c r="T17" s="288"/>
      <c r="U17" s="288">
        <v>1</v>
      </c>
      <c r="V17" s="288">
        <v>1</v>
      </c>
      <c r="W17" s="288"/>
      <c r="X17" s="288"/>
      <c r="Y17" s="288"/>
      <c r="Z17" s="288"/>
      <c r="AA17" s="289"/>
      <c r="AB17" s="210">
        <f t="shared" si="19"/>
        <v>2</v>
      </c>
      <c r="AC17" s="278">
        <f t="shared" si="20"/>
        <v>2</v>
      </c>
      <c r="AD17" s="162"/>
      <c r="AE17" s="163"/>
      <c r="AF17" s="191">
        <f t="shared" si="0"/>
        <v>1</v>
      </c>
      <c r="AG17" s="164" t="s">
        <v>11</v>
      </c>
      <c r="AH17" s="165">
        <v>0.27430555555555552</v>
      </c>
      <c r="AI17" s="165">
        <v>0.28472222222222221</v>
      </c>
      <c r="AJ17" s="166"/>
      <c r="AK17" s="166"/>
      <c r="AL17" s="167"/>
      <c r="AM17" s="167"/>
      <c r="AN17" s="168"/>
      <c r="AO17" s="167"/>
      <c r="AP17" s="167"/>
      <c r="AQ17" s="168"/>
      <c r="AR17" s="167"/>
      <c r="AS17" s="167"/>
      <c r="AT17" s="168"/>
      <c r="AU17" s="167"/>
      <c r="AV17" s="167"/>
      <c r="AW17" s="168"/>
      <c r="AX17" s="169"/>
      <c r="AY17" s="170"/>
      <c r="AZ17" s="171"/>
      <c r="BA17" s="168"/>
      <c r="BB17" s="169"/>
      <c r="BC17" s="170"/>
      <c r="BD17" s="171"/>
      <c r="BE17" s="168"/>
      <c r="BF17" s="169"/>
      <c r="BG17" s="170"/>
      <c r="BH17" s="171"/>
      <c r="BI17" s="168"/>
      <c r="BJ17" s="169"/>
      <c r="BK17" s="170"/>
      <c r="BL17" s="171"/>
      <c r="BM17" s="168"/>
      <c r="BN17" s="172">
        <f t="shared" si="1"/>
        <v>0</v>
      </c>
      <c r="BO17" s="173">
        <f t="shared" si="2"/>
        <v>0</v>
      </c>
      <c r="BP17" s="174">
        <f t="shared" si="3"/>
        <v>0</v>
      </c>
      <c r="BQ17" s="175" t="str">
        <f t="shared" si="4"/>
        <v>0:00</v>
      </c>
      <c r="BR17" s="176" t="str">
        <f t="shared" si="21"/>
        <v>0:00</v>
      </c>
      <c r="BS17" s="177">
        <f t="shared" si="5"/>
        <v>1.0416666666666685E-2</v>
      </c>
      <c r="BT17" s="178"/>
      <c r="BU17" s="354"/>
      <c r="BV17" s="355"/>
      <c r="BW17" s="216"/>
      <c r="BX17" s="281" t="str">
        <f>IFERROR(VLOOKUP(BU17,Cadastro!$O$3:$P$499,2,0),"")</f>
        <v/>
      </c>
      <c r="BY17" s="350"/>
      <c r="BZ17" s="351"/>
      <c r="CA17" s="350"/>
      <c r="CB17" s="351"/>
      <c r="CC17" s="19"/>
      <c r="CD17" s="322">
        <f>IFERROR(VLOOKUP(Apontamentos!A17,CT!C7:E1005,3,0),"")</f>
        <v>24</v>
      </c>
      <c r="CE17" s="323">
        <f>IFERROR(((BR17*24)*3600)/CD17,"")</f>
        <v>0</v>
      </c>
      <c r="CF17" s="8"/>
      <c r="CG17" s="268" t="str">
        <f t="shared" si="6"/>
        <v/>
      </c>
      <c r="CH17" s="18"/>
      <c r="CI17" s="223" t="str">
        <f>IF(Cadastro!$Z$8="","",Cadastro!$Z$8)</f>
        <v>Maquina 6</v>
      </c>
      <c r="CJ17" s="224">
        <f t="shared" si="7"/>
        <v>0</v>
      </c>
      <c r="CK17" s="10">
        <f t="shared" si="8"/>
        <v>0.40833333333333338</v>
      </c>
      <c r="CL17" s="22" t="str">
        <f t="shared" si="23"/>
        <v>0:00</v>
      </c>
      <c r="CM17" s="11">
        <f t="shared" si="24"/>
        <v>0.40833333333333338</v>
      </c>
      <c r="CN17" s="14">
        <f t="shared" si="9"/>
        <v>0</v>
      </c>
      <c r="CO17" s="12">
        <f t="shared" si="10"/>
        <v>0</v>
      </c>
      <c r="CP17" s="13">
        <f t="shared" si="11"/>
        <v>0</v>
      </c>
      <c r="CQ17" s="16">
        <f t="shared" si="12"/>
        <v>0</v>
      </c>
      <c r="CR17" s="225">
        <f t="shared" si="13"/>
        <v>0.40833333333333333</v>
      </c>
      <c r="CS17" s="11">
        <f t="shared" si="25"/>
        <v>0</v>
      </c>
      <c r="CT17" s="220" t="str">
        <f t="shared" si="26"/>
        <v>Apontamento Correto</v>
      </c>
      <c r="CU17" s="8"/>
      <c r="CW17" s="15" t="s">
        <v>60</v>
      </c>
      <c r="CY17" s="88" t="str">
        <f>IFERROR(VLOOKUP(BA17,Cadastro!$S$3:$S$366,1,0),"")</f>
        <v/>
      </c>
      <c r="CZ17" s="89" t="str">
        <f>IFERROR(VLOOKUP(BE17,Cadastro!$S$3:$S$366,1,0),"")</f>
        <v/>
      </c>
      <c r="DA17" s="89" t="str">
        <f>IFERROR(VLOOKUP(BI17,Cadastro!$S$3:$S$366,1,0),"")</f>
        <v/>
      </c>
      <c r="DB17" s="89" t="str">
        <f>IFERROR(VLOOKUP(BM17,Cadastro!$S$3:$S$366,1,0),"")</f>
        <v/>
      </c>
      <c r="DC17" s="90" t="str">
        <f t="shared" si="14"/>
        <v/>
      </c>
      <c r="DD17" s="90" t="str">
        <f t="shared" si="15"/>
        <v/>
      </c>
      <c r="DE17" s="90" t="str">
        <f t="shared" si="16"/>
        <v/>
      </c>
      <c r="DF17" s="90" t="str">
        <f t="shared" si="17"/>
        <v/>
      </c>
    </row>
    <row r="18" spans="1:110" ht="15" customHeight="1">
      <c r="A18" s="157" t="s">
        <v>730</v>
      </c>
      <c r="B18" s="158"/>
      <c r="C18" s="159"/>
      <c r="D18" s="160"/>
      <c r="E18" s="161"/>
      <c r="F18" s="287"/>
      <c r="G18" s="287"/>
      <c r="H18" s="287"/>
      <c r="I18" s="287"/>
      <c r="J18" s="287"/>
      <c r="K18" s="287"/>
      <c r="L18" s="287"/>
      <c r="M18" s="287"/>
      <c r="N18" s="287"/>
      <c r="O18" s="287"/>
      <c r="P18" s="210">
        <f t="shared" si="18"/>
        <v>0</v>
      </c>
      <c r="Q18" s="288"/>
      <c r="R18" s="288"/>
      <c r="S18" s="288"/>
      <c r="T18" s="288"/>
      <c r="U18" s="288"/>
      <c r="V18" s="288"/>
      <c r="W18" s="288"/>
      <c r="X18" s="288"/>
      <c r="Y18" s="288"/>
      <c r="Z18" s="288"/>
      <c r="AA18" s="289"/>
      <c r="AB18" s="210">
        <f t="shared" si="19"/>
        <v>0</v>
      </c>
      <c r="AC18" s="278">
        <f t="shared" si="20"/>
        <v>0</v>
      </c>
      <c r="AD18" s="162"/>
      <c r="AE18" s="163"/>
      <c r="AF18" s="191" t="str">
        <f t="shared" si="0"/>
        <v>0</v>
      </c>
      <c r="AG18" s="164" t="s">
        <v>11</v>
      </c>
      <c r="AH18" s="165"/>
      <c r="AI18" s="165"/>
      <c r="AJ18" s="166"/>
      <c r="AK18" s="166"/>
      <c r="AL18" s="167"/>
      <c r="AM18" s="167"/>
      <c r="AN18" s="168"/>
      <c r="AO18" s="167"/>
      <c r="AP18" s="167"/>
      <c r="AQ18" s="168"/>
      <c r="AR18" s="167"/>
      <c r="AS18" s="167"/>
      <c r="AT18" s="168"/>
      <c r="AU18" s="167"/>
      <c r="AV18" s="167"/>
      <c r="AW18" s="168"/>
      <c r="AX18" s="169"/>
      <c r="AY18" s="170"/>
      <c r="AZ18" s="171"/>
      <c r="BA18" s="168"/>
      <c r="BB18" s="169"/>
      <c r="BC18" s="170"/>
      <c r="BD18" s="171"/>
      <c r="BE18" s="168"/>
      <c r="BF18" s="169"/>
      <c r="BG18" s="170"/>
      <c r="BH18" s="171"/>
      <c r="BI18" s="168"/>
      <c r="BJ18" s="169"/>
      <c r="BK18" s="170"/>
      <c r="BL18" s="171"/>
      <c r="BM18" s="168"/>
      <c r="BN18" s="172">
        <f t="shared" si="1"/>
        <v>0</v>
      </c>
      <c r="BO18" s="173">
        <f t="shared" si="2"/>
        <v>0</v>
      </c>
      <c r="BP18" s="174">
        <f t="shared" si="3"/>
        <v>0</v>
      </c>
      <c r="BQ18" s="175" t="str">
        <f t="shared" si="4"/>
        <v>0:00</v>
      </c>
      <c r="BR18" s="176">
        <f t="shared" si="21"/>
        <v>0</v>
      </c>
      <c r="BS18" s="177" t="str">
        <f t="shared" si="5"/>
        <v>0:00</v>
      </c>
      <c r="BT18" s="178"/>
      <c r="BU18" s="354" t="s">
        <v>481</v>
      </c>
      <c r="BV18" s="355"/>
      <c r="BW18" s="216">
        <v>2</v>
      </c>
      <c r="BX18" s="281" t="str">
        <f>IFERROR(VLOOKUP(BU18,Cadastro!$O$3:$P$499,2,0),"")</f>
        <v>UN</v>
      </c>
      <c r="BY18" s="350" t="s">
        <v>1077</v>
      </c>
      <c r="BZ18" s="351"/>
      <c r="CA18" s="350"/>
      <c r="CB18" s="351"/>
      <c r="CC18" s="19"/>
      <c r="CD18" s="322" t="str">
        <f>IFERROR(VLOOKUP(Apontamentos!A18,CT!C8:E1006,3,0),"")</f>
        <v/>
      </c>
      <c r="CE18" s="323" t="str">
        <f t="shared" si="22"/>
        <v/>
      </c>
      <c r="CF18" s="8"/>
      <c r="CG18" s="268" t="str">
        <f t="shared" si="6"/>
        <v/>
      </c>
      <c r="CH18" s="18"/>
      <c r="CI18" s="223" t="str">
        <f>IF(Cadastro!$Z$9="","",Cadastro!$Z$9)</f>
        <v>Maquina 7</v>
      </c>
      <c r="CJ18" s="224">
        <f t="shared" si="7"/>
        <v>0</v>
      </c>
      <c r="CK18" s="10">
        <f t="shared" si="8"/>
        <v>0.40833333333333338</v>
      </c>
      <c r="CL18" s="22" t="str">
        <f t="shared" si="23"/>
        <v>0:00</v>
      </c>
      <c r="CM18" s="11">
        <f t="shared" si="24"/>
        <v>0.40833333333333338</v>
      </c>
      <c r="CN18" s="14">
        <f t="shared" si="9"/>
        <v>0</v>
      </c>
      <c r="CO18" s="12">
        <f t="shared" si="10"/>
        <v>0</v>
      </c>
      <c r="CP18" s="13">
        <f t="shared" si="11"/>
        <v>0</v>
      </c>
      <c r="CQ18" s="16">
        <f t="shared" si="12"/>
        <v>0</v>
      </c>
      <c r="CR18" s="225">
        <f t="shared" si="13"/>
        <v>0.40833333333333333</v>
      </c>
      <c r="CS18" s="11">
        <f t="shared" si="25"/>
        <v>0</v>
      </c>
      <c r="CT18" s="220" t="str">
        <f t="shared" si="26"/>
        <v>Apontamento Correto</v>
      </c>
      <c r="CU18" s="8"/>
      <c r="CW18" s="15" t="s">
        <v>163</v>
      </c>
      <c r="CY18" s="88" t="str">
        <f>IFERROR(VLOOKUP(BA18,Cadastro!$S$3:$S$366,1,0),"")</f>
        <v/>
      </c>
      <c r="CZ18" s="89" t="str">
        <f>IFERROR(VLOOKUP(BE18,Cadastro!$S$3:$S$366,1,0),"")</f>
        <v/>
      </c>
      <c r="DA18" s="89" t="str">
        <f>IFERROR(VLOOKUP(BI18,Cadastro!$S$3:$S$366,1,0),"")</f>
        <v/>
      </c>
      <c r="DB18" s="89" t="str">
        <f>IFERROR(VLOOKUP(BM18,Cadastro!$S$3:$S$366,1,0),"")</f>
        <v/>
      </c>
      <c r="DC18" s="90" t="str">
        <f t="shared" si="14"/>
        <v/>
      </c>
      <c r="DD18" s="90" t="str">
        <f t="shared" si="15"/>
        <v/>
      </c>
      <c r="DE18" s="90" t="str">
        <f t="shared" si="16"/>
        <v/>
      </c>
      <c r="DF18" s="90" t="str">
        <f t="shared" si="17"/>
        <v/>
      </c>
    </row>
    <row r="19" spans="1:110" ht="15" customHeight="1">
      <c r="A19" s="157" t="s">
        <v>730</v>
      </c>
      <c r="B19" s="158"/>
      <c r="C19" s="159"/>
      <c r="D19" s="160"/>
      <c r="E19" s="161"/>
      <c r="F19" s="287"/>
      <c r="G19" s="287"/>
      <c r="H19" s="287"/>
      <c r="I19" s="287"/>
      <c r="J19" s="287"/>
      <c r="K19" s="287"/>
      <c r="L19" s="287"/>
      <c r="M19" s="287"/>
      <c r="N19" s="287"/>
      <c r="O19" s="287"/>
      <c r="P19" s="210">
        <f t="shared" si="18"/>
        <v>0</v>
      </c>
      <c r="Q19" s="288"/>
      <c r="R19" s="288"/>
      <c r="S19" s="288"/>
      <c r="T19" s="288"/>
      <c r="U19" s="288"/>
      <c r="V19" s="288"/>
      <c r="W19" s="288"/>
      <c r="X19" s="288"/>
      <c r="Y19" s="288"/>
      <c r="Z19" s="288"/>
      <c r="AA19" s="289"/>
      <c r="AB19" s="210">
        <f t="shared" si="19"/>
        <v>0</v>
      </c>
      <c r="AC19" s="278">
        <f t="shared" si="20"/>
        <v>0</v>
      </c>
      <c r="AD19" s="162"/>
      <c r="AE19" s="163"/>
      <c r="AF19" s="191" t="str">
        <f t="shared" si="0"/>
        <v>0</v>
      </c>
      <c r="AG19" s="164" t="s">
        <v>11</v>
      </c>
      <c r="AH19" s="165"/>
      <c r="AI19" s="165"/>
      <c r="AJ19" s="166"/>
      <c r="AK19" s="166"/>
      <c r="AL19" s="167"/>
      <c r="AM19" s="167"/>
      <c r="AN19" s="168"/>
      <c r="AO19" s="167"/>
      <c r="AP19" s="167"/>
      <c r="AQ19" s="168"/>
      <c r="AR19" s="167"/>
      <c r="AS19" s="167"/>
      <c r="AT19" s="168"/>
      <c r="AU19" s="167"/>
      <c r="AV19" s="167"/>
      <c r="AW19" s="168"/>
      <c r="AX19" s="169"/>
      <c r="AY19" s="170"/>
      <c r="AZ19" s="171"/>
      <c r="BA19" s="168"/>
      <c r="BB19" s="169"/>
      <c r="BC19" s="170"/>
      <c r="BD19" s="171"/>
      <c r="BE19" s="168"/>
      <c r="BF19" s="169"/>
      <c r="BG19" s="170"/>
      <c r="BH19" s="171"/>
      <c r="BI19" s="168"/>
      <c r="BJ19" s="169"/>
      <c r="BK19" s="170"/>
      <c r="BL19" s="171"/>
      <c r="BM19" s="168"/>
      <c r="BN19" s="172">
        <f t="shared" si="1"/>
        <v>0</v>
      </c>
      <c r="BO19" s="173">
        <f t="shared" si="2"/>
        <v>0</v>
      </c>
      <c r="BP19" s="174">
        <f t="shared" si="3"/>
        <v>0</v>
      </c>
      <c r="BQ19" s="175" t="str">
        <f t="shared" si="4"/>
        <v>0:00</v>
      </c>
      <c r="BR19" s="176">
        <f t="shared" si="21"/>
        <v>0</v>
      </c>
      <c r="BS19" s="177" t="str">
        <f t="shared" si="5"/>
        <v>0:00</v>
      </c>
      <c r="BT19" s="178"/>
      <c r="BU19" s="354" t="s">
        <v>474</v>
      </c>
      <c r="BV19" s="355"/>
      <c r="BW19" s="216">
        <v>2000</v>
      </c>
      <c r="BX19" s="281" t="str">
        <f>IFERROR(VLOOKUP(BU19,Cadastro!$O$3:$P$499,2,0),"")</f>
        <v>UN</v>
      </c>
      <c r="BY19" s="350" t="s">
        <v>752</v>
      </c>
      <c r="BZ19" s="351"/>
      <c r="CA19" s="350" t="s">
        <v>753</v>
      </c>
      <c r="CB19" s="351"/>
      <c r="CC19" s="19"/>
      <c r="CD19" s="322" t="str">
        <f>IFERROR(VLOOKUP(Apontamentos!A19,CT!C9:E1007,3,0),"")</f>
        <v/>
      </c>
      <c r="CE19" s="323" t="str">
        <f t="shared" si="22"/>
        <v/>
      </c>
      <c r="CF19" s="8"/>
      <c r="CG19" s="268" t="str">
        <f t="shared" si="6"/>
        <v/>
      </c>
      <c r="CH19" s="18"/>
      <c r="CI19" s="223" t="str">
        <f>IF(Cadastro!$Z$10="","",Cadastro!$Z$10)</f>
        <v>Mesa PAD RH</v>
      </c>
      <c r="CJ19" s="224">
        <f t="shared" si="7"/>
        <v>0</v>
      </c>
      <c r="CK19" s="10">
        <f t="shared" si="8"/>
        <v>0.40833333333333338</v>
      </c>
      <c r="CL19" s="22" t="str">
        <f t="shared" si="23"/>
        <v>0:00</v>
      </c>
      <c r="CM19" s="11">
        <f t="shared" si="24"/>
        <v>0.40833333333333338</v>
      </c>
      <c r="CN19" s="14">
        <f t="shared" si="9"/>
        <v>0</v>
      </c>
      <c r="CO19" s="12">
        <f t="shared" si="10"/>
        <v>0</v>
      </c>
      <c r="CP19" s="13">
        <f t="shared" si="11"/>
        <v>0</v>
      </c>
      <c r="CQ19" s="16">
        <f t="shared" si="12"/>
        <v>0</v>
      </c>
      <c r="CR19" s="225">
        <f t="shared" si="13"/>
        <v>0.40833333333333333</v>
      </c>
      <c r="CS19" s="11">
        <f t="shared" si="25"/>
        <v>0</v>
      </c>
      <c r="CT19" s="220" t="str">
        <f t="shared" si="26"/>
        <v>Apontamento Correto</v>
      </c>
      <c r="CU19" s="8"/>
      <c r="CW19" s="15" t="s">
        <v>197</v>
      </c>
      <c r="CY19" s="88" t="str">
        <f>IFERROR(VLOOKUP(BA19,Cadastro!$S$3:$S$366,1,0),"")</f>
        <v/>
      </c>
      <c r="CZ19" s="89" t="str">
        <f>IFERROR(VLOOKUP(BE19,Cadastro!$S$3:$S$366,1,0),"")</f>
        <v/>
      </c>
      <c r="DA19" s="89" t="str">
        <f>IFERROR(VLOOKUP(BI19,Cadastro!$S$3:$S$366,1,0),"")</f>
        <v/>
      </c>
      <c r="DB19" s="89" t="str">
        <f>IFERROR(VLOOKUP(BM19,Cadastro!$S$3:$S$366,1,0),"")</f>
        <v/>
      </c>
      <c r="DC19" s="90" t="str">
        <f t="shared" si="14"/>
        <v/>
      </c>
      <c r="DD19" s="90" t="str">
        <f t="shared" si="15"/>
        <v/>
      </c>
      <c r="DE19" s="90" t="str">
        <f t="shared" si="16"/>
        <v/>
      </c>
      <c r="DF19" s="90" t="str">
        <f t="shared" si="17"/>
        <v/>
      </c>
    </row>
    <row r="20" spans="1:110" ht="15" customHeight="1">
      <c r="A20" s="157" t="s">
        <v>1075</v>
      </c>
      <c r="B20" s="158"/>
      <c r="C20" s="159" t="s">
        <v>731</v>
      </c>
      <c r="D20" s="160">
        <v>20</v>
      </c>
      <c r="E20" s="161"/>
      <c r="F20" s="287"/>
      <c r="G20" s="287"/>
      <c r="H20" s="287"/>
      <c r="I20" s="287"/>
      <c r="J20" s="287"/>
      <c r="K20" s="287"/>
      <c r="L20" s="287"/>
      <c r="M20" s="287"/>
      <c r="N20" s="287"/>
      <c r="O20" s="287"/>
      <c r="P20" s="210">
        <f t="shared" si="18"/>
        <v>0</v>
      </c>
      <c r="Q20" s="288"/>
      <c r="R20" s="288"/>
      <c r="S20" s="288"/>
      <c r="T20" s="288"/>
      <c r="U20" s="288"/>
      <c r="V20" s="288"/>
      <c r="W20" s="288"/>
      <c r="X20" s="288"/>
      <c r="Y20" s="288"/>
      <c r="Z20" s="288"/>
      <c r="AA20" s="289"/>
      <c r="AB20" s="210">
        <f t="shared" si="19"/>
        <v>0</v>
      </c>
      <c r="AC20" s="278">
        <f t="shared" si="20"/>
        <v>0</v>
      </c>
      <c r="AD20" s="162"/>
      <c r="AE20" s="163"/>
      <c r="AF20" s="191">
        <f t="shared" si="0"/>
        <v>20</v>
      </c>
      <c r="AG20" s="164" t="s">
        <v>11</v>
      </c>
      <c r="AH20" s="165">
        <v>0.625</v>
      </c>
      <c r="AI20" s="165">
        <v>0.65833333333333333</v>
      </c>
      <c r="AJ20" s="166"/>
      <c r="AK20" s="166"/>
      <c r="AL20" s="167"/>
      <c r="AM20" s="167"/>
      <c r="AN20" s="168"/>
      <c r="AO20" s="167"/>
      <c r="AP20" s="167"/>
      <c r="AQ20" s="168"/>
      <c r="AR20" s="167"/>
      <c r="AS20" s="167"/>
      <c r="AT20" s="168"/>
      <c r="AU20" s="167"/>
      <c r="AV20" s="167"/>
      <c r="AW20" s="168"/>
      <c r="AX20" s="169"/>
      <c r="AY20" s="170"/>
      <c r="AZ20" s="171"/>
      <c r="BA20" s="168"/>
      <c r="BB20" s="169"/>
      <c r="BC20" s="170"/>
      <c r="BD20" s="171"/>
      <c r="BE20" s="168"/>
      <c r="BF20" s="169"/>
      <c r="BG20" s="170"/>
      <c r="BH20" s="171"/>
      <c r="BI20" s="168"/>
      <c r="BJ20" s="169"/>
      <c r="BK20" s="170"/>
      <c r="BL20" s="171"/>
      <c r="BM20" s="168"/>
      <c r="BN20" s="172">
        <f t="shared" si="1"/>
        <v>0</v>
      </c>
      <c r="BO20" s="173">
        <f t="shared" si="2"/>
        <v>0</v>
      </c>
      <c r="BP20" s="174">
        <f t="shared" si="3"/>
        <v>0</v>
      </c>
      <c r="BQ20" s="175" t="str">
        <f t="shared" si="4"/>
        <v>0:00</v>
      </c>
      <c r="BR20" s="176">
        <f t="shared" si="21"/>
        <v>3.3333333333333326E-2</v>
      </c>
      <c r="BS20" s="177" t="str">
        <f t="shared" si="5"/>
        <v>0:00</v>
      </c>
      <c r="BT20" s="178"/>
      <c r="BU20" s="354"/>
      <c r="BV20" s="355"/>
      <c r="BW20" s="216"/>
      <c r="BX20" s="281" t="str">
        <f>IFERROR(VLOOKUP(BU20,Cadastro!$O$3:$P$499,2,0),"")</f>
        <v/>
      </c>
      <c r="BY20" s="350"/>
      <c r="BZ20" s="351"/>
      <c r="CA20" s="350"/>
      <c r="CB20" s="351"/>
      <c r="CC20" s="19"/>
      <c r="CD20" s="322" t="str">
        <f>IFERROR(VLOOKUP(Apontamentos!A20,CT!C10:E1008,3,0),"")</f>
        <v/>
      </c>
      <c r="CE20" s="323" t="str">
        <f t="shared" si="22"/>
        <v/>
      </c>
      <c r="CF20" s="8"/>
      <c r="CG20" s="268" t="str">
        <f t="shared" si="6"/>
        <v/>
      </c>
      <c r="CH20" s="18"/>
      <c r="CI20" s="223" t="str">
        <f>IF(Cadastro!$Z$11="","",Cadastro!$Z$11)</f>
        <v>Mesa PAD LH</v>
      </c>
      <c r="CJ20" s="224">
        <f t="shared" si="7"/>
        <v>0</v>
      </c>
      <c r="CK20" s="10">
        <f t="shared" si="8"/>
        <v>0.40833333333333338</v>
      </c>
      <c r="CL20" s="21" t="str">
        <f>IFERROR(IF($CJ$4=TRUE,VLOOKUP(CI20,$BW$2:$BX$9,2,0),"0:00"),"")</f>
        <v>0:00</v>
      </c>
      <c r="CM20" s="11">
        <f t="shared" si="24"/>
        <v>0.40833333333333338</v>
      </c>
      <c r="CN20" s="14">
        <f t="shared" si="9"/>
        <v>0</v>
      </c>
      <c r="CO20" s="12">
        <f t="shared" si="10"/>
        <v>0</v>
      </c>
      <c r="CP20" s="13">
        <f t="shared" si="11"/>
        <v>0</v>
      </c>
      <c r="CQ20" s="16">
        <f t="shared" si="12"/>
        <v>0</v>
      </c>
      <c r="CR20" s="225">
        <f t="shared" si="13"/>
        <v>0.40833333333333333</v>
      </c>
      <c r="CS20" s="11">
        <f t="shared" si="25"/>
        <v>0</v>
      </c>
      <c r="CT20" s="220" t="str">
        <f t="shared" si="26"/>
        <v>Apontamento Correto</v>
      </c>
      <c r="CU20" s="8"/>
      <c r="CW20" s="15" t="s">
        <v>132</v>
      </c>
      <c r="CY20" s="88" t="str">
        <f>IFERROR(VLOOKUP(BA20,Cadastro!$S$3:$S$366,1,0),"")</f>
        <v/>
      </c>
      <c r="CZ20" s="89" t="str">
        <f>IFERROR(VLOOKUP(BE20,Cadastro!$S$3:$S$366,1,0),"")</f>
        <v/>
      </c>
      <c r="DA20" s="89" t="str">
        <f>IFERROR(VLOOKUP(BI20,Cadastro!$S$3:$S$366,1,0),"")</f>
        <v/>
      </c>
      <c r="DB20" s="89" t="str">
        <f>IFERROR(VLOOKUP(BM20,Cadastro!$S$3:$S$366,1,0),"")</f>
        <v/>
      </c>
      <c r="DC20" s="90" t="str">
        <f t="shared" si="14"/>
        <v/>
      </c>
      <c r="DD20" s="90" t="str">
        <f t="shared" si="15"/>
        <v/>
      </c>
      <c r="DE20" s="90" t="str">
        <f t="shared" si="16"/>
        <v/>
      </c>
      <c r="DF20" s="90" t="str">
        <f t="shared" si="17"/>
        <v/>
      </c>
    </row>
    <row r="21" spans="1:110" ht="15" customHeight="1">
      <c r="A21" s="157" t="s">
        <v>1061</v>
      </c>
      <c r="B21" s="158"/>
      <c r="C21" s="159"/>
      <c r="D21" s="160"/>
      <c r="E21" s="161"/>
      <c r="F21" s="287"/>
      <c r="G21" s="287"/>
      <c r="H21" s="287"/>
      <c r="I21" s="287"/>
      <c r="J21" s="287"/>
      <c r="K21" s="287"/>
      <c r="L21" s="287"/>
      <c r="M21" s="287"/>
      <c r="N21" s="287"/>
      <c r="O21" s="287"/>
      <c r="P21" s="210">
        <f t="shared" si="18"/>
        <v>0</v>
      </c>
      <c r="Q21" s="288"/>
      <c r="R21" s="288"/>
      <c r="S21" s="288"/>
      <c r="T21" s="288"/>
      <c r="U21" s="288"/>
      <c r="V21" s="288"/>
      <c r="W21" s="288"/>
      <c r="X21" s="288"/>
      <c r="Y21" s="288"/>
      <c r="Z21" s="288"/>
      <c r="AA21" s="289"/>
      <c r="AB21" s="210">
        <f t="shared" si="19"/>
        <v>0</v>
      </c>
      <c r="AC21" s="278">
        <f t="shared" ref="AC21:AC31" si="27">IFERROR(P21+AB21,"")</f>
        <v>0</v>
      </c>
      <c r="AD21" s="162"/>
      <c r="AE21" s="163"/>
      <c r="AF21" s="191" t="str">
        <f t="shared" si="0"/>
        <v>0</v>
      </c>
      <c r="AG21" s="164" t="s">
        <v>11</v>
      </c>
      <c r="AH21" s="165"/>
      <c r="AI21" s="165"/>
      <c r="AJ21" s="166"/>
      <c r="AK21" s="166"/>
      <c r="AL21" s="167"/>
      <c r="AM21" s="167"/>
      <c r="AN21" s="168"/>
      <c r="AO21" s="167"/>
      <c r="AP21" s="167"/>
      <c r="AQ21" s="168"/>
      <c r="AR21" s="167"/>
      <c r="AS21" s="167"/>
      <c r="AT21" s="168"/>
      <c r="AU21" s="167"/>
      <c r="AV21" s="167"/>
      <c r="AW21" s="168"/>
      <c r="AX21" s="169"/>
      <c r="AY21" s="170"/>
      <c r="AZ21" s="171"/>
      <c r="BA21" s="168"/>
      <c r="BB21" s="169"/>
      <c r="BC21" s="170"/>
      <c r="BD21" s="171"/>
      <c r="BE21" s="168"/>
      <c r="BF21" s="169"/>
      <c r="BG21" s="170"/>
      <c r="BH21" s="171"/>
      <c r="BI21" s="168"/>
      <c r="BJ21" s="169"/>
      <c r="BK21" s="170"/>
      <c r="BL21" s="171"/>
      <c r="BM21" s="168"/>
      <c r="BN21" s="172">
        <f t="shared" si="1"/>
        <v>0</v>
      </c>
      <c r="BO21" s="173">
        <f t="shared" si="2"/>
        <v>0</v>
      </c>
      <c r="BP21" s="174">
        <f t="shared" si="3"/>
        <v>0</v>
      </c>
      <c r="BQ21" s="175" t="str">
        <f t="shared" si="4"/>
        <v>0:00</v>
      </c>
      <c r="BR21" s="176">
        <f t="shared" si="21"/>
        <v>0</v>
      </c>
      <c r="BS21" s="177" t="str">
        <f t="shared" si="5"/>
        <v>0:00</v>
      </c>
      <c r="BT21" s="178"/>
      <c r="BU21" s="354" t="s">
        <v>138</v>
      </c>
      <c r="BV21" s="355"/>
      <c r="BW21" s="216">
        <v>2</v>
      </c>
      <c r="BX21" s="281" t="str">
        <f>IFERROR(VLOOKUP(BU21,Cadastro!$O$3:$P$499,2,0),"")</f>
        <v>MT</v>
      </c>
      <c r="BY21" s="350" t="s">
        <v>752</v>
      </c>
      <c r="BZ21" s="351"/>
      <c r="CA21" s="350" t="s">
        <v>1149</v>
      </c>
      <c r="CB21" s="351"/>
      <c r="CC21" s="19"/>
      <c r="CD21" s="322" t="str">
        <f>IFERROR(VLOOKUP(Apontamentos!A21,CT!C11:E1009,3,0),"")</f>
        <v/>
      </c>
      <c r="CE21" s="323" t="str">
        <f t="shared" si="22"/>
        <v/>
      </c>
      <c r="CF21" s="8"/>
      <c r="CG21" s="268" t="str">
        <f t="shared" si="6"/>
        <v>UN</v>
      </c>
      <c r="CH21" s="18"/>
      <c r="CI21" s="223" t="str">
        <f>IF(Cadastro!$Z$12="","",Cadastro!$Z$12)</f>
        <v>Mesa Rodinho</v>
      </c>
      <c r="CJ21" s="224">
        <f t="shared" si="7"/>
        <v>0</v>
      </c>
      <c r="CK21" s="10">
        <f t="shared" si="8"/>
        <v>0.40833333333333338</v>
      </c>
      <c r="CL21" s="21" t="str">
        <f t="shared" ref="CL21:CL27" si="28">IFERROR(IF($CJ$4=TRUE,VLOOKUP(CI21,$BW$2:$BX$9,2,0),"0:00"),"")</f>
        <v>0:00</v>
      </c>
      <c r="CM21" s="11">
        <f t="shared" si="24"/>
        <v>8.333333333333337E-2</v>
      </c>
      <c r="CN21" s="14">
        <f t="shared" si="9"/>
        <v>0</v>
      </c>
      <c r="CO21" s="12">
        <f t="shared" si="10"/>
        <v>0</v>
      </c>
      <c r="CP21" s="13">
        <f t="shared" si="11"/>
        <v>0</v>
      </c>
      <c r="CQ21" s="16">
        <f t="shared" si="12"/>
        <v>0.32500000000000001</v>
      </c>
      <c r="CR21" s="225">
        <f t="shared" si="13"/>
        <v>8.3333333333333315E-2</v>
      </c>
      <c r="CS21" s="11">
        <f t="shared" si="25"/>
        <v>0</v>
      </c>
      <c r="CT21" s="220" t="str">
        <f t="shared" si="26"/>
        <v>Apontamento Correto</v>
      </c>
      <c r="CU21" s="8"/>
      <c r="CW21" s="15" t="s">
        <v>131</v>
      </c>
      <c r="CY21" s="88" t="str">
        <f>IFERROR(VLOOKUP(BA21,Cadastro!$S$3:$S$366,1,0),"")</f>
        <v/>
      </c>
      <c r="CZ21" s="89" t="str">
        <f>IFERROR(VLOOKUP(BE21,Cadastro!$S$3:$S$366,1,0),"")</f>
        <v/>
      </c>
      <c r="DA21" s="89" t="str">
        <f>IFERROR(VLOOKUP(BI21,Cadastro!$S$3:$S$366,1,0),"")</f>
        <v/>
      </c>
      <c r="DB21" s="89" t="str">
        <f>IFERROR(VLOOKUP(BM21,Cadastro!$S$3:$S$366,1,0),"")</f>
        <v/>
      </c>
      <c r="DC21" s="90" t="str">
        <f t="shared" si="14"/>
        <v/>
      </c>
      <c r="DD21" s="90" t="str">
        <f t="shared" si="15"/>
        <v/>
      </c>
      <c r="DE21" s="90" t="str">
        <f t="shared" si="16"/>
        <v/>
      </c>
      <c r="DF21" s="90" t="str">
        <f t="shared" si="17"/>
        <v/>
      </c>
    </row>
    <row r="22" spans="1:110" ht="15" customHeight="1">
      <c r="A22" s="157" t="s">
        <v>78</v>
      </c>
      <c r="B22" s="158"/>
      <c r="C22" s="159" t="s">
        <v>745</v>
      </c>
      <c r="D22" s="160">
        <v>950</v>
      </c>
      <c r="E22" s="161"/>
      <c r="F22" s="287"/>
      <c r="G22" s="287"/>
      <c r="H22" s="287"/>
      <c r="I22" s="287"/>
      <c r="J22" s="287"/>
      <c r="K22" s="287"/>
      <c r="L22" s="287"/>
      <c r="M22" s="287"/>
      <c r="N22" s="287"/>
      <c r="O22" s="287"/>
      <c r="P22" s="210">
        <f t="shared" si="18"/>
        <v>0</v>
      </c>
      <c r="Q22" s="288"/>
      <c r="R22" s="288"/>
      <c r="S22" s="288"/>
      <c r="T22" s="288"/>
      <c r="U22" s="288"/>
      <c r="V22" s="288"/>
      <c r="W22" s="288"/>
      <c r="X22" s="288"/>
      <c r="Y22" s="288"/>
      <c r="Z22" s="288"/>
      <c r="AA22" s="289"/>
      <c r="AB22" s="210">
        <f t="shared" si="19"/>
        <v>0</v>
      </c>
      <c r="AC22" s="278">
        <f t="shared" si="27"/>
        <v>0</v>
      </c>
      <c r="AD22" s="162"/>
      <c r="AE22" s="163"/>
      <c r="AF22" s="191">
        <f t="shared" si="0"/>
        <v>950</v>
      </c>
      <c r="AG22" s="164" t="s">
        <v>11</v>
      </c>
      <c r="AH22" s="165">
        <v>0.25</v>
      </c>
      <c r="AI22" s="165">
        <v>0.65833333333333333</v>
      </c>
      <c r="AJ22" s="166"/>
      <c r="AK22" s="166"/>
      <c r="AL22" s="167"/>
      <c r="AM22" s="167"/>
      <c r="AN22" s="168"/>
      <c r="AO22" s="167"/>
      <c r="AP22" s="167"/>
      <c r="AQ22" s="168"/>
      <c r="AR22" s="167"/>
      <c r="AS22" s="167"/>
      <c r="AT22" s="168"/>
      <c r="AU22" s="167"/>
      <c r="AV22" s="167"/>
      <c r="AW22" s="168"/>
      <c r="AX22" s="169"/>
      <c r="AY22" s="170"/>
      <c r="AZ22" s="171"/>
      <c r="BA22" s="168"/>
      <c r="BB22" s="169"/>
      <c r="BC22" s="170"/>
      <c r="BD22" s="171"/>
      <c r="BE22" s="168"/>
      <c r="BF22" s="169"/>
      <c r="BG22" s="170"/>
      <c r="BH22" s="171"/>
      <c r="BI22" s="168"/>
      <c r="BJ22" s="169"/>
      <c r="BK22" s="170"/>
      <c r="BL22" s="171"/>
      <c r="BM22" s="168"/>
      <c r="BN22" s="172">
        <f t="shared" si="1"/>
        <v>0</v>
      </c>
      <c r="BO22" s="173">
        <f t="shared" si="2"/>
        <v>0</v>
      </c>
      <c r="BP22" s="174">
        <f t="shared" si="3"/>
        <v>0</v>
      </c>
      <c r="BQ22" s="175" t="str">
        <f t="shared" si="4"/>
        <v>0:00</v>
      </c>
      <c r="BR22" s="176">
        <f t="shared" si="21"/>
        <v>0.40833333333333333</v>
      </c>
      <c r="BS22" s="177" t="str">
        <f t="shared" si="5"/>
        <v>0:00</v>
      </c>
      <c r="BT22" s="178"/>
      <c r="BU22" s="354"/>
      <c r="BV22" s="355"/>
      <c r="BW22" s="216"/>
      <c r="BX22" s="281" t="str">
        <f>IFERROR(VLOOKUP(BU22,Cadastro!$O$3:$P$499,2,0),"")</f>
        <v/>
      </c>
      <c r="BY22" s="350"/>
      <c r="BZ22" s="351"/>
      <c r="CA22" s="350"/>
      <c r="CB22" s="351"/>
      <c r="CC22" s="19"/>
      <c r="CD22" s="322">
        <f>IFERROR(VLOOKUP(Apontamentos!A22,CT!C12:E1010,3,0),"")</f>
        <v>36</v>
      </c>
      <c r="CE22" s="323">
        <f t="shared" si="22"/>
        <v>980</v>
      </c>
      <c r="CF22" s="8"/>
      <c r="CG22" s="268" t="str">
        <f t="shared" si="6"/>
        <v/>
      </c>
      <c r="CH22" s="18"/>
      <c r="CI22" s="223" t="str">
        <f>IF(Cadastro!$Z$13="","",Cadastro!$Z$13)</f>
        <v>Retrabalho</v>
      </c>
      <c r="CJ22" s="224">
        <f t="shared" si="7"/>
        <v>8.2191780821917804E-2</v>
      </c>
      <c r="CK22" s="10">
        <f t="shared" si="8"/>
        <v>0.40833333333333338</v>
      </c>
      <c r="CL22" s="21" t="str">
        <f t="shared" si="28"/>
        <v>0:00</v>
      </c>
      <c r="CM22" s="11">
        <f t="shared" si="24"/>
        <v>0.40833333333333338</v>
      </c>
      <c r="CN22" s="14">
        <f t="shared" si="9"/>
        <v>0</v>
      </c>
      <c r="CO22" s="12">
        <f t="shared" si="10"/>
        <v>0</v>
      </c>
      <c r="CP22" s="13">
        <f t="shared" si="11"/>
        <v>0</v>
      </c>
      <c r="CQ22" s="16">
        <f t="shared" si="12"/>
        <v>0</v>
      </c>
      <c r="CR22" s="225">
        <f t="shared" si="13"/>
        <v>0</v>
      </c>
      <c r="CS22" s="11">
        <f t="shared" si="25"/>
        <v>0.40833333333333338</v>
      </c>
      <c r="CT22" s="220" t="str">
        <f t="shared" si="26"/>
        <v>Falta Apontamento</v>
      </c>
      <c r="CU22" s="8"/>
      <c r="CW22" s="15" t="s">
        <v>161</v>
      </c>
      <c r="CY22" s="88" t="str">
        <f>IFERROR(VLOOKUP(BA22,Cadastro!$S$3:$S$366,1,0),"")</f>
        <v/>
      </c>
      <c r="CZ22" s="89" t="str">
        <f>IFERROR(VLOOKUP(BE22,Cadastro!$S$3:$S$366,1,0),"")</f>
        <v/>
      </c>
      <c r="DA22" s="89" t="str">
        <f>IFERROR(VLOOKUP(BI22,Cadastro!$S$3:$S$366,1,0),"")</f>
        <v/>
      </c>
      <c r="DB22" s="89" t="str">
        <f>IFERROR(VLOOKUP(BM22,Cadastro!$S$3:$S$366,1,0),"")</f>
        <v/>
      </c>
      <c r="DC22" s="90" t="str">
        <f t="shared" si="14"/>
        <v/>
      </c>
      <c r="DD22" s="90" t="str">
        <f t="shared" si="15"/>
        <v/>
      </c>
      <c r="DE22" s="90" t="str">
        <f t="shared" si="16"/>
        <v/>
      </c>
      <c r="DF22" s="90" t="str">
        <f t="shared" si="17"/>
        <v/>
      </c>
    </row>
    <row r="23" spans="1:110" ht="15" customHeight="1">
      <c r="A23" s="157" t="s">
        <v>67</v>
      </c>
      <c r="B23" s="158"/>
      <c r="C23" s="159" t="s">
        <v>690</v>
      </c>
      <c r="D23" s="160">
        <v>700</v>
      </c>
      <c r="E23" s="161"/>
      <c r="F23" s="287"/>
      <c r="G23" s="287"/>
      <c r="H23" s="287"/>
      <c r="I23" s="287"/>
      <c r="J23" s="287"/>
      <c r="K23" s="287"/>
      <c r="L23" s="287"/>
      <c r="M23" s="287"/>
      <c r="N23" s="287"/>
      <c r="O23" s="287"/>
      <c r="P23" s="210">
        <f t="shared" si="18"/>
        <v>0</v>
      </c>
      <c r="Q23" s="288"/>
      <c r="R23" s="288"/>
      <c r="S23" s="288"/>
      <c r="T23" s="288"/>
      <c r="U23" s="288"/>
      <c r="V23" s="288"/>
      <c r="W23" s="288"/>
      <c r="X23" s="288"/>
      <c r="Y23" s="288"/>
      <c r="Z23" s="288"/>
      <c r="AA23" s="289"/>
      <c r="AB23" s="210">
        <f t="shared" si="19"/>
        <v>0</v>
      </c>
      <c r="AC23" s="278">
        <f t="shared" si="27"/>
        <v>0</v>
      </c>
      <c r="AD23" s="162"/>
      <c r="AE23" s="163"/>
      <c r="AF23" s="191">
        <f t="shared" si="0"/>
        <v>700</v>
      </c>
      <c r="AG23" s="164" t="s">
        <v>11</v>
      </c>
      <c r="AH23" s="165">
        <v>0.25</v>
      </c>
      <c r="AI23" s="165">
        <v>0.33333333333333331</v>
      </c>
      <c r="AJ23" s="166"/>
      <c r="AK23" s="166"/>
      <c r="AL23" s="167"/>
      <c r="AM23" s="167"/>
      <c r="AN23" s="168"/>
      <c r="AO23" s="167"/>
      <c r="AP23" s="167"/>
      <c r="AQ23" s="168"/>
      <c r="AR23" s="167"/>
      <c r="AS23" s="167"/>
      <c r="AT23" s="168"/>
      <c r="AU23" s="167"/>
      <c r="AV23" s="167"/>
      <c r="AW23" s="168"/>
      <c r="AX23" s="169"/>
      <c r="AY23" s="170"/>
      <c r="AZ23" s="171"/>
      <c r="BA23" s="168"/>
      <c r="BB23" s="169"/>
      <c r="BC23" s="170"/>
      <c r="BD23" s="171"/>
      <c r="BE23" s="168"/>
      <c r="BF23" s="169"/>
      <c r="BG23" s="170"/>
      <c r="BH23" s="171"/>
      <c r="BI23" s="168"/>
      <c r="BJ23" s="169"/>
      <c r="BK23" s="170"/>
      <c r="BL23" s="171"/>
      <c r="BM23" s="168"/>
      <c r="BN23" s="172">
        <f t="shared" si="1"/>
        <v>0</v>
      </c>
      <c r="BO23" s="173">
        <f t="shared" si="2"/>
        <v>0</v>
      </c>
      <c r="BP23" s="174">
        <f t="shared" si="3"/>
        <v>0</v>
      </c>
      <c r="BQ23" s="175" t="str">
        <f t="shared" si="4"/>
        <v>0:00</v>
      </c>
      <c r="BR23" s="176">
        <f t="shared" si="21"/>
        <v>8.3333333333333315E-2</v>
      </c>
      <c r="BS23" s="177" t="str">
        <f t="shared" si="5"/>
        <v>0:00</v>
      </c>
      <c r="BT23" s="178"/>
      <c r="BU23" s="354"/>
      <c r="BV23" s="355"/>
      <c r="BW23" s="216"/>
      <c r="BX23" s="281" t="str">
        <f>IFERROR(VLOOKUP(BU23,Cadastro!$O$3:$P$499,2,0),"")</f>
        <v/>
      </c>
      <c r="BY23" s="350"/>
      <c r="BZ23" s="351"/>
      <c r="CA23" s="350"/>
      <c r="CB23" s="351"/>
      <c r="CC23" s="19"/>
      <c r="CD23" s="322">
        <f>IFERROR(VLOOKUP(Apontamentos!A23,CT!C13:E1011,3,0),"")</f>
        <v>10.199999999999999</v>
      </c>
      <c r="CE23" s="323">
        <f t="shared" si="22"/>
        <v>705.88235294117635</v>
      </c>
      <c r="CF23" s="8"/>
      <c r="CG23" s="268" t="str">
        <f t="shared" si="6"/>
        <v/>
      </c>
      <c r="CH23" s="18"/>
      <c r="CI23" s="223" t="str">
        <f>IF(Cadastro!$Z$14="","",Cadastro!$Z$14)</f>
        <v/>
      </c>
      <c r="CJ23" s="224" t="str">
        <f t="shared" si="7"/>
        <v/>
      </c>
      <c r="CK23" s="10">
        <f t="shared" si="8"/>
        <v>0.40833333333333338</v>
      </c>
      <c r="CL23" s="21" t="str">
        <f t="shared" si="28"/>
        <v>0:00</v>
      </c>
      <c r="CM23" s="11">
        <f t="shared" si="24"/>
        <v>0.40833333333333338</v>
      </c>
      <c r="CN23" s="14">
        <f t="shared" si="9"/>
        <v>0</v>
      </c>
      <c r="CO23" s="12">
        <f t="shared" si="10"/>
        <v>0</v>
      </c>
      <c r="CP23" s="13">
        <f t="shared" si="11"/>
        <v>0</v>
      </c>
      <c r="CQ23" s="16">
        <f t="shared" si="12"/>
        <v>0</v>
      </c>
      <c r="CR23" s="225">
        <f t="shared" si="13"/>
        <v>0</v>
      </c>
      <c r="CS23" s="11">
        <f t="shared" si="25"/>
        <v>0.40833333333333338</v>
      </c>
      <c r="CT23" s="220" t="str">
        <f t="shared" si="26"/>
        <v/>
      </c>
      <c r="CU23" s="8"/>
      <c r="CW23" s="15" t="s">
        <v>1014</v>
      </c>
      <c r="CY23" s="88" t="str">
        <f>IFERROR(VLOOKUP(BA23,Cadastro!$S$3:$S$366,1,0),"")</f>
        <v/>
      </c>
      <c r="CZ23" s="89" t="str">
        <f>IFERROR(VLOOKUP(BE23,Cadastro!$S$3:$S$366,1,0),"")</f>
        <v/>
      </c>
      <c r="DA23" s="89" t="str">
        <f>IFERROR(VLOOKUP(BI23,Cadastro!$S$3:$S$366,1,0),"")</f>
        <v/>
      </c>
      <c r="DB23" s="89" t="str">
        <f>IFERROR(VLOOKUP(BM23,Cadastro!$S$3:$S$366,1,0),"")</f>
        <v/>
      </c>
      <c r="DC23" s="90" t="str">
        <f t="shared" si="14"/>
        <v/>
      </c>
      <c r="DD23" s="90" t="str">
        <f t="shared" si="15"/>
        <v/>
      </c>
      <c r="DE23" s="90" t="str">
        <f t="shared" si="16"/>
        <v/>
      </c>
      <c r="DF23" s="90" t="str">
        <f t="shared" si="17"/>
        <v/>
      </c>
    </row>
    <row r="24" spans="1:110" ht="15" customHeight="1">
      <c r="A24" s="157" t="s">
        <v>90</v>
      </c>
      <c r="B24" s="158"/>
      <c r="C24" s="159" t="s">
        <v>724</v>
      </c>
      <c r="D24" s="160">
        <v>1000</v>
      </c>
      <c r="E24" s="161"/>
      <c r="F24" s="287"/>
      <c r="G24" s="287"/>
      <c r="H24" s="287"/>
      <c r="I24" s="287"/>
      <c r="J24" s="287"/>
      <c r="K24" s="287"/>
      <c r="L24" s="287"/>
      <c r="M24" s="287"/>
      <c r="N24" s="287"/>
      <c r="O24" s="287"/>
      <c r="P24" s="210">
        <f t="shared" si="18"/>
        <v>0</v>
      </c>
      <c r="Q24" s="288"/>
      <c r="R24" s="288"/>
      <c r="S24" s="288"/>
      <c r="T24" s="288"/>
      <c r="U24" s="288"/>
      <c r="V24" s="288"/>
      <c r="W24" s="288"/>
      <c r="X24" s="288"/>
      <c r="Y24" s="288"/>
      <c r="Z24" s="288"/>
      <c r="AA24" s="289"/>
      <c r="AB24" s="210">
        <f t="shared" si="19"/>
        <v>0</v>
      </c>
      <c r="AC24" s="278">
        <f t="shared" si="27"/>
        <v>0</v>
      </c>
      <c r="AD24" s="162"/>
      <c r="AE24" s="163"/>
      <c r="AF24" s="191">
        <f t="shared" si="0"/>
        <v>1000</v>
      </c>
      <c r="AG24" s="164" t="s">
        <v>11</v>
      </c>
      <c r="AH24" s="165">
        <v>0.25</v>
      </c>
      <c r="AI24" s="165">
        <v>0.65833333333333333</v>
      </c>
      <c r="AJ24" s="166"/>
      <c r="AK24" s="166"/>
      <c r="AL24" s="167"/>
      <c r="AM24" s="167"/>
      <c r="AN24" s="168"/>
      <c r="AO24" s="167"/>
      <c r="AP24" s="167"/>
      <c r="AQ24" s="168"/>
      <c r="AR24" s="167"/>
      <c r="AS24" s="167"/>
      <c r="AT24" s="168"/>
      <c r="AU24" s="167"/>
      <c r="AV24" s="167"/>
      <c r="AW24" s="168"/>
      <c r="AX24" s="169"/>
      <c r="AY24" s="170"/>
      <c r="AZ24" s="171"/>
      <c r="BA24" s="168"/>
      <c r="BB24" s="169"/>
      <c r="BC24" s="170"/>
      <c r="BD24" s="171"/>
      <c r="BE24" s="168"/>
      <c r="BF24" s="169"/>
      <c r="BG24" s="170"/>
      <c r="BH24" s="171"/>
      <c r="BI24" s="168"/>
      <c r="BJ24" s="169"/>
      <c r="BK24" s="170"/>
      <c r="BL24" s="171"/>
      <c r="BM24" s="168"/>
      <c r="BN24" s="172">
        <f t="shared" si="1"/>
        <v>0</v>
      </c>
      <c r="BO24" s="173">
        <f t="shared" si="2"/>
        <v>0</v>
      </c>
      <c r="BP24" s="174">
        <f t="shared" si="3"/>
        <v>0</v>
      </c>
      <c r="BQ24" s="175" t="str">
        <f t="shared" si="4"/>
        <v>0:00</v>
      </c>
      <c r="BR24" s="176">
        <f t="shared" si="21"/>
        <v>0.40833333333333333</v>
      </c>
      <c r="BS24" s="177" t="str">
        <f t="shared" si="5"/>
        <v>0:00</v>
      </c>
      <c r="BT24" s="178"/>
      <c r="BU24" s="354"/>
      <c r="BV24" s="355"/>
      <c r="BW24" s="216"/>
      <c r="BX24" s="281" t="str">
        <f>IFERROR(VLOOKUP(BU24,Cadastro!$O$3:$P$499,2,0),"")</f>
        <v/>
      </c>
      <c r="BY24" s="350"/>
      <c r="BZ24" s="351"/>
      <c r="CA24" s="350"/>
      <c r="CB24" s="351"/>
      <c r="CC24" s="19"/>
      <c r="CD24" s="322">
        <f>IFERROR(VLOOKUP(Apontamentos!A24,CT!C14:E1012,3,0),"")</f>
        <v>27</v>
      </c>
      <c r="CE24" s="323">
        <f t="shared" si="22"/>
        <v>1306.6666666666667</v>
      </c>
      <c r="CF24" s="8"/>
      <c r="CG24" s="268" t="str">
        <f t="shared" si="6"/>
        <v/>
      </c>
      <c r="CH24" s="18"/>
      <c r="CI24" s="223" t="str">
        <f>IF(Cadastro!$Z$15="","",Cadastro!$Z$15)</f>
        <v/>
      </c>
      <c r="CJ24" s="224" t="str">
        <f t="shared" si="7"/>
        <v/>
      </c>
      <c r="CK24" s="10">
        <f t="shared" si="8"/>
        <v>0.40833333333333338</v>
      </c>
      <c r="CL24" s="21" t="str">
        <f t="shared" si="28"/>
        <v>0:00</v>
      </c>
      <c r="CM24" s="11">
        <f t="shared" si="24"/>
        <v>0.40833333333333338</v>
      </c>
      <c r="CN24" s="14">
        <f t="shared" si="9"/>
        <v>0</v>
      </c>
      <c r="CO24" s="12">
        <f t="shared" si="10"/>
        <v>0</v>
      </c>
      <c r="CP24" s="13">
        <f t="shared" si="11"/>
        <v>0</v>
      </c>
      <c r="CQ24" s="16">
        <f t="shared" si="12"/>
        <v>0</v>
      </c>
      <c r="CR24" s="225">
        <f t="shared" si="13"/>
        <v>0</v>
      </c>
      <c r="CS24" s="11">
        <f t="shared" si="25"/>
        <v>0.40833333333333338</v>
      </c>
      <c r="CT24" s="220" t="str">
        <f t="shared" si="26"/>
        <v/>
      </c>
      <c r="CU24" s="8"/>
      <c r="CW24" s="15" t="s">
        <v>753</v>
      </c>
      <c r="CY24" s="88" t="str">
        <f>IFERROR(VLOOKUP(BA24,Cadastro!$S$3:$S$366,1,0),"")</f>
        <v/>
      </c>
      <c r="CZ24" s="89" t="str">
        <f>IFERROR(VLOOKUP(BE24,Cadastro!$S$3:$S$366,1,0),"")</f>
        <v/>
      </c>
      <c r="DA24" s="89" t="str">
        <f>IFERROR(VLOOKUP(BI24,Cadastro!$S$3:$S$366,1,0),"")</f>
        <v/>
      </c>
      <c r="DB24" s="89" t="str">
        <f>IFERROR(VLOOKUP(BM24,Cadastro!$S$3:$S$366,1,0),"")</f>
        <v/>
      </c>
      <c r="DC24" s="90" t="str">
        <f t="shared" si="14"/>
        <v/>
      </c>
      <c r="DD24" s="90" t="str">
        <f t="shared" si="15"/>
        <v/>
      </c>
      <c r="DE24" s="90" t="str">
        <f t="shared" si="16"/>
        <v/>
      </c>
      <c r="DF24" s="90" t="str">
        <f t="shared" si="17"/>
        <v/>
      </c>
    </row>
    <row r="25" spans="1:110" ht="15" customHeight="1">
      <c r="A25" s="157" t="s">
        <v>91</v>
      </c>
      <c r="B25" s="158"/>
      <c r="C25" s="159" t="s">
        <v>725</v>
      </c>
      <c r="D25" s="160">
        <v>1000</v>
      </c>
      <c r="E25" s="161"/>
      <c r="F25" s="287"/>
      <c r="G25" s="287"/>
      <c r="H25" s="287"/>
      <c r="I25" s="287"/>
      <c r="J25" s="287"/>
      <c r="K25" s="287"/>
      <c r="L25" s="287"/>
      <c r="M25" s="287"/>
      <c r="N25" s="287"/>
      <c r="O25" s="287"/>
      <c r="P25" s="210">
        <f t="shared" si="18"/>
        <v>0</v>
      </c>
      <c r="Q25" s="288"/>
      <c r="R25" s="288"/>
      <c r="S25" s="288"/>
      <c r="T25" s="288"/>
      <c r="U25" s="288"/>
      <c r="V25" s="288"/>
      <c r="W25" s="288"/>
      <c r="X25" s="288"/>
      <c r="Y25" s="288"/>
      <c r="Z25" s="288"/>
      <c r="AA25" s="289"/>
      <c r="AB25" s="210">
        <f t="shared" si="19"/>
        <v>0</v>
      </c>
      <c r="AC25" s="278">
        <f t="shared" si="27"/>
        <v>0</v>
      </c>
      <c r="AD25" s="162"/>
      <c r="AE25" s="163"/>
      <c r="AF25" s="191">
        <f t="shared" si="0"/>
        <v>1000</v>
      </c>
      <c r="AG25" s="164" t="s">
        <v>11</v>
      </c>
      <c r="AH25" s="165">
        <v>0.25</v>
      </c>
      <c r="AI25" s="165">
        <v>0.65833333333333333</v>
      </c>
      <c r="AJ25" s="166"/>
      <c r="AK25" s="166"/>
      <c r="AL25" s="167"/>
      <c r="AM25" s="167"/>
      <c r="AN25" s="168"/>
      <c r="AO25" s="167"/>
      <c r="AP25" s="167"/>
      <c r="AQ25" s="168"/>
      <c r="AR25" s="167"/>
      <c r="AS25" s="167"/>
      <c r="AT25" s="168"/>
      <c r="AU25" s="167"/>
      <c r="AV25" s="167"/>
      <c r="AW25" s="168"/>
      <c r="AX25" s="169"/>
      <c r="AY25" s="170"/>
      <c r="AZ25" s="171"/>
      <c r="BA25" s="168"/>
      <c r="BB25" s="169"/>
      <c r="BC25" s="170"/>
      <c r="BD25" s="171"/>
      <c r="BE25" s="168"/>
      <c r="BF25" s="169"/>
      <c r="BG25" s="170"/>
      <c r="BH25" s="171"/>
      <c r="BI25" s="168"/>
      <c r="BJ25" s="169"/>
      <c r="BK25" s="170"/>
      <c r="BL25" s="171"/>
      <c r="BM25" s="168"/>
      <c r="BN25" s="172">
        <f t="shared" si="1"/>
        <v>0</v>
      </c>
      <c r="BO25" s="173">
        <f t="shared" si="2"/>
        <v>0</v>
      </c>
      <c r="BP25" s="174">
        <f t="shared" si="3"/>
        <v>0</v>
      </c>
      <c r="BQ25" s="175" t="str">
        <f t="shared" si="4"/>
        <v>0:00</v>
      </c>
      <c r="BR25" s="176">
        <f t="shared" si="21"/>
        <v>0.40833333333333333</v>
      </c>
      <c r="BS25" s="177" t="str">
        <f t="shared" si="5"/>
        <v>0:00</v>
      </c>
      <c r="BT25" s="178"/>
      <c r="BU25" s="354"/>
      <c r="BV25" s="355"/>
      <c r="BW25" s="216"/>
      <c r="BX25" s="281" t="str">
        <f>IFERROR(VLOOKUP(BU25,Cadastro!$O$3:$P$499,2,0),"")</f>
        <v/>
      </c>
      <c r="BY25" s="350"/>
      <c r="BZ25" s="351"/>
      <c r="CA25" s="350"/>
      <c r="CB25" s="351"/>
      <c r="CC25" s="19"/>
      <c r="CD25" s="322">
        <f>IFERROR(VLOOKUP(Apontamentos!A25,CT!C15:E1013,3,0),"")</f>
        <v>27</v>
      </c>
      <c r="CE25" s="323">
        <f t="shared" si="22"/>
        <v>1306.6666666666667</v>
      </c>
      <c r="CF25" s="8"/>
      <c r="CG25" s="268" t="str">
        <f t="shared" si="6"/>
        <v/>
      </c>
      <c r="CH25" s="18"/>
      <c r="CI25" s="223" t="str">
        <f>IF(Cadastro!$Z$16="","",Cadastro!$Z$16)</f>
        <v/>
      </c>
      <c r="CJ25" s="224" t="str">
        <f t="shared" si="7"/>
        <v/>
      </c>
      <c r="CK25" s="10">
        <f t="shared" si="8"/>
        <v>0.40833333333333338</v>
      </c>
      <c r="CL25" s="21" t="str">
        <f t="shared" si="28"/>
        <v>0:00</v>
      </c>
      <c r="CM25" s="11">
        <f t="shared" si="24"/>
        <v>0.40833333333333338</v>
      </c>
      <c r="CN25" s="14">
        <f t="shared" si="9"/>
        <v>0</v>
      </c>
      <c r="CO25" s="12">
        <f t="shared" si="10"/>
        <v>0</v>
      </c>
      <c r="CP25" s="13">
        <f t="shared" si="11"/>
        <v>0</v>
      </c>
      <c r="CQ25" s="16">
        <f t="shared" si="12"/>
        <v>0</v>
      </c>
      <c r="CR25" s="225">
        <f t="shared" si="13"/>
        <v>0</v>
      </c>
      <c r="CS25" s="11">
        <f t="shared" si="25"/>
        <v>0.40833333333333338</v>
      </c>
      <c r="CT25" s="220" t="str">
        <f t="shared" si="26"/>
        <v/>
      </c>
      <c r="CU25" s="8"/>
      <c r="CW25" s="15" t="s">
        <v>967</v>
      </c>
      <c r="CY25" s="88" t="str">
        <f>IFERROR(VLOOKUP(BA25,Cadastro!$S$3:$S$366,1,0),"")</f>
        <v/>
      </c>
      <c r="CZ25" s="89" t="str">
        <f>IFERROR(VLOOKUP(BE25,Cadastro!$S$3:$S$366,1,0),"")</f>
        <v/>
      </c>
      <c r="DA25" s="89" t="str">
        <f>IFERROR(VLOOKUP(BI25,Cadastro!$S$3:$S$366,1,0),"")</f>
        <v/>
      </c>
      <c r="DB25" s="89" t="str">
        <f>IFERROR(VLOOKUP(BM25,Cadastro!$S$3:$S$366,1,0),"")</f>
        <v/>
      </c>
      <c r="DC25" s="90" t="str">
        <f t="shared" si="14"/>
        <v/>
      </c>
      <c r="DD25" s="90" t="str">
        <f t="shared" si="15"/>
        <v/>
      </c>
      <c r="DE25" s="90" t="str">
        <f t="shared" si="16"/>
        <v/>
      </c>
      <c r="DF25" s="90" t="str">
        <f t="shared" si="17"/>
        <v/>
      </c>
    </row>
    <row r="26" spans="1:110" ht="15" customHeight="1">
      <c r="A26" s="157" t="s">
        <v>87</v>
      </c>
      <c r="B26" s="158"/>
      <c r="C26" s="159" t="s">
        <v>746</v>
      </c>
      <c r="D26" s="160">
        <v>820</v>
      </c>
      <c r="E26" s="161"/>
      <c r="F26" s="287"/>
      <c r="G26" s="287"/>
      <c r="H26" s="287"/>
      <c r="I26" s="287"/>
      <c r="J26" s="287"/>
      <c r="K26" s="287"/>
      <c r="L26" s="287"/>
      <c r="M26" s="287"/>
      <c r="N26" s="287"/>
      <c r="O26" s="287"/>
      <c r="P26" s="210">
        <f t="shared" si="18"/>
        <v>0</v>
      </c>
      <c r="Q26" s="288"/>
      <c r="R26" s="288"/>
      <c r="S26" s="288"/>
      <c r="T26" s="288"/>
      <c r="U26" s="288"/>
      <c r="V26" s="288"/>
      <c r="W26" s="288"/>
      <c r="X26" s="288"/>
      <c r="Y26" s="288"/>
      <c r="Z26" s="288"/>
      <c r="AA26" s="289"/>
      <c r="AB26" s="210">
        <f t="shared" si="19"/>
        <v>0</v>
      </c>
      <c r="AC26" s="278">
        <f t="shared" si="27"/>
        <v>0</v>
      </c>
      <c r="AD26" s="162"/>
      <c r="AE26" s="163"/>
      <c r="AF26" s="191">
        <f t="shared" si="0"/>
        <v>820</v>
      </c>
      <c r="AG26" s="164" t="s">
        <v>11</v>
      </c>
      <c r="AH26" s="165">
        <v>0.25</v>
      </c>
      <c r="AI26" s="165">
        <v>0.65833333333333333</v>
      </c>
      <c r="AJ26" s="166"/>
      <c r="AK26" s="166"/>
      <c r="AL26" s="167"/>
      <c r="AM26" s="167"/>
      <c r="AN26" s="168"/>
      <c r="AO26" s="167"/>
      <c r="AP26" s="167"/>
      <c r="AQ26" s="168"/>
      <c r="AR26" s="167"/>
      <c r="AS26" s="167"/>
      <c r="AT26" s="168"/>
      <c r="AU26" s="167"/>
      <c r="AV26" s="167"/>
      <c r="AW26" s="168"/>
      <c r="AX26" s="169"/>
      <c r="AY26" s="170"/>
      <c r="AZ26" s="171"/>
      <c r="BA26" s="168"/>
      <c r="BB26" s="169"/>
      <c r="BC26" s="170"/>
      <c r="BD26" s="171"/>
      <c r="BE26" s="168"/>
      <c r="BF26" s="169"/>
      <c r="BG26" s="170"/>
      <c r="BH26" s="171"/>
      <c r="BI26" s="168"/>
      <c r="BJ26" s="169"/>
      <c r="BK26" s="170"/>
      <c r="BL26" s="171"/>
      <c r="BM26" s="168"/>
      <c r="BN26" s="172">
        <f t="shared" si="1"/>
        <v>0</v>
      </c>
      <c r="BO26" s="173">
        <f t="shared" si="2"/>
        <v>0</v>
      </c>
      <c r="BP26" s="174">
        <f t="shared" si="3"/>
        <v>0</v>
      </c>
      <c r="BQ26" s="175" t="str">
        <f t="shared" si="4"/>
        <v>0:00</v>
      </c>
      <c r="BR26" s="176">
        <f t="shared" si="21"/>
        <v>0.40833333333333333</v>
      </c>
      <c r="BS26" s="177" t="str">
        <f t="shared" si="5"/>
        <v>0:00</v>
      </c>
      <c r="BT26" s="178"/>
      <c r="BU26" s="354"/>
      <c r="BV26" s="355"/>
      <c r="BW26" s="216"/>
      <c r="BX26" s="281" t="str">
        <f>IFERROR(VLOOKUP(BU26,Cadastro!$O$3:$P$499,2,0),"")</f>
        <v/>
      </c>
      <c r="BY26" s="350"/>
      <c r="BZ26" s="351"/>
      <c r="CA26" s="350"/>
      <c r="CB26" s="351"/>
      <c r="CC26" s="19"/>
      <c r="CD26" s="322">
        <f>IFERROR(VLOOKUP(Apontamentos!A26,CT!C16:E1014,3,0),"")</f>
        <v>36</v>
      </c>
      <c r="CE26" s="323">
        <f t="shared" si="22"/>
        <v>980</v>
      </c>
      <c r="CF26" s="8"/>
      <c r="CG26" s="268" t="str">
        <f t="shared" si="6"/>
        <v/>
      </c>
      <c r="CH26" s="18"/>
      <c r="CI26" s="223" t="str">
        <f>IF(Cadastro!$Z$17="","",Cadastro!$Z$17)</f>
        <v/>
      </c>
      <c r="CJ26" s="224" t="str">
        <f t="shared" si="7"/>
        <v/>
      </c>
      <c r="CK26" s="10">
        <f t="shared" si="8"/>
        <v>0.40833333333333338</v>
      </c>
      <c r="CL26" s="21" t="str">
        <f t="shared" si="28"/>
        <v>0:00</v>
      </c>
      <c r="CM26" s="11">
        <f t="shared" si="24"/>
        <v>0.40833333333333338</v>
      </c>
      <c r="CN26" s="14">
        <f t="shared" si="9"/>
        <v>0</v>
      </c>
      <c r="CO26" s="12">
        <f t="shared" si="10"/>
        <v>0</v>
      </c>
      <c r="CP26" s="13">
        <f t="shared" si="11"/>
        <v>0</v>
      </c>
      <c r="CQ26" s="16">
        <f t="shared" si="12"/>
        <v>0</v>
      </c>
      <c r="CR26" s="225">
        <f t="shared" si="13"/>
        <v>0</v>
      </c>
      <c r="CS26" s="11">
        <f t="shared" si="25"/>
        <v>0.40833333333333338</v>
      </c>
      <c r="CT26" s="220" t="str">
        <f t="shared" si="26"/>
        <v/>
      </c>
      <c r="CU26" s="8"/>
      <c r="CY26" s="88" t="str">
        <f>IFERROR(VLOOKUP(BA26,Cadastro!$S$3:$S$366,1,0),"")</f>
        <v/>
      </c>
      <c r="CZ26" s="89" t="str">
        <f>IFERROR(VLOOKUP(BE26,Cadastro!$S$3:$S$366,1,0),"")</f>
        <v/>
      </c>
      <c r="DA26" s="89" t="str">
        <f>IFERROR(VLOOKUP(BI26,Cadastro!$S$3:$S$366,1,0),"")</f>
        <v/>
      </c>
      <c r="DB26" s="89" t="str">
        <f>IFERROR(VLOOKUP(BM26,Cadastro!$S$3:$S$366,1,0),"")</f>
        <v/>
      </c>
      <c r="DC26" s="90" t="str">
        <f t="shared" si="14"/>
        <v/>
      </c>
      <c r="DD26" s="90" t="str">
        <f t="shared" si="15"/>
        <v/>
      </c>
      <c r="DE26" s="90" t="str">
        <f t="shared" si="16"/>
        <v/>
      </c>
      <c r="DF26" s="90" t="str">
        <f t="shared" si="17"/>
        <v/>
      </c>
    </row>
    <row r="27" spans="1:110" ht="15" customHeight="1">
      <c r="A27" s="157" t="s">
        <v>89</v>
      </c>
      <c r="B27" s="158"/>
      <c r="C27" s="159" t="s">
        <v>747</v>
      </c>
      <c r="D27" s="160">
        <v>1500</v>
      </c>
      <c r="E27" s="161"/>
      <c r="F27" s="287"/>
      <c r="G27" s="287"/>
      <c r="H27" s="287"/>
      <c r="I27" s="287"/>
      <c r="J27" s="287"/>
      <c r="K27" s="287"/>
      <c r="L27" s="287"/>
      <c r="M27" s="287"/>
      <c r="N27" s="287"/>
      <c r="O27" s="287"/>
      <c r="P27" s="210">
        <f t="shared" si="18"/>
        <v>0</v>
      </c>
      <c r="Q27" s="288"/>
      <c r="R27" s="288"/>
      <c r="S27" s="288"/>
      <c r="T27" s="288"/>
      <c r="U27" s="288"/>
      <c r="V27" s="288"/>
      <c r="W27" s="288"/>
      <c r="X27" s="288"/>
      <c r="Y27" s="288"/>
      <c r="Z27" s="288"/>
      <c r="AA27" s="289"/>
      <c r="AB27" s="210">
        <f t="shared" si="19"/>
        <v>0</v>
      </c>
      <c r="AC27" s="278">
        <f t="shared" si="27"/>
        <v>0</v>
      </c>
      <c r="AD27" s="162"/>
      <c r="AE27" s="163"/>
      <c r="AF27" s="191">
        <f t="shared" si="0"/>
        <v>1500</v>
      </c>
      <c r="AG27" s="164" t="s">
        <v>11</v>
      </c>
      <c r="AH27" s="165">
        <v>0.25</v>
      </c>
      <c r="AI27" s="165">
        <v>0.65833333333333333</v>
      </c>
      <c r="AJ27" s="166"/>
      <c r="AK27" s="166"/>
      <c r="AL27" s="167"/>
      <c r="AM27" s="167"/>
      <c r="AN27" s="168"/>
      <c r="AO27" s="167"/>
      <c r="AP27" s="167"/>
      <c r="AQ27" s="168"/>
      <c r="AR27" s="167"/>
      <c r="AS27" s="167"/>
      <c r="AT27" s="168"/>
      <c r="AU27" s="167"/>
      <c r="AV27" s="167"/>
      <c r="AW27" s="168"/>
      <c r="AX27" s="169"/>
      <c r="AY27" s="170"/>
      <c r="AZ27" s="171"/>
      <c r="BA27" s="168"/>
      <c r="BB27" s="169"/>
      <c r="BC27" s="170"/>
      <c r="BD27" s="171"/>
      <c r="BE27" s="168"/>
      <c r="BF27" s="169"/>
      <c r="BG27" s="170"/>
      <c r="BH27" s="171"/>
      <c r="BI27" s="168"/>
      <c r="BJ27" s="169"/>
      <c r="BK27" s="170"/>
      <c r="BL27" s="171"/>
      <c r="BM27" s="168"/>
      <c r="BN27" s="172">
        <f t="shared" si="1"/>
        <v>0</v>
      </c>
      <c r="BO27" s="173">
        <f t="shared" si="2"/>
        <v>0</v>
      </c>
      <c r="BP27" s="174">
        <f t="shared" si="3"/>
        <v>0</v>
      </c>
      <c r="BQ27" s="175" t="str">
        <f t="shared" si="4"/>
        <v>0:00</v>
      </c>
      <c r="BR27" s="176">
        <f t="shared" si="21"/>
        <v>0.40833333333333333</v>
      </c>
      <c r="BS27" s="177" t="str">
        <f t="shared" si="5"/>
        <v>0:00</v>
      </c>
      <c r="BT27" s="178"/>
      <c r="BU27" s="354"/>
      <c r="BV27" s="355"/>
      <c r="BW27" s="216"/>
      <c r="BX27" s="281" t="str">
        <f>IFERROR(VLOOKUP(BU27,Cadastro!$O$3:$P$499,2,0),"")</f>
        <v/>
      </c>
      <c r="BY27" s="350"/>
      <c r="BZ27" s="351"/>
      <c r="CA27" s="350"/>
      <c r="CB27" s="351"/>
      <c r="CC27" s="19"/>
      <c r="CD27" s="322">
        <f>IFERROR(VLOOKUP(Apontamentos!A27,CT!C17:E1015,3,0),"")</f>
        <v>15.5</v>
      </c>
      <c r="CE27" s="323">
        <f t="shared" si="22"/>
        <v>2276.1290322580644</v>
      </c>
      <c r="CF27" s="8"/>
      <c r="CG27" s="268" t="str">
        <f t="shared" si="6"/>
        <v/>
      </c>
      <c r="CH27" s="18"/>
      <c r="CI27" s="223" t="str">
        <f>IF(Cadastro!$Z$18="","",Cadastro!$Z$18)</f>
        <v/>
      </c>
      <c r="CJ27" s="224" t="str">
        <f t="shared" si="7"/>
        <v/>
      </c>
      <c r="CK27" s="10">
        <f t="shared" si="8"/>
        <v>0.40833333333333338</v>
      </c>
      <c r="CL27" s="21" t="str">
        <f t="shared" si="28"/>
        <v>0:00</v>
      </c>
      <c r="CM27" s="11">
        <f t="shared" si="24"/>
        <v>0.40833333333333338</v>
      </c>
      <c r="CN27" s="14">
        <f t="shared" si="9"/>
        <v>0</v>
      </c>
      <c r="CO27" s="12">
        <f t="shared" si="10"/>
        <v>0</v>
      </c>
      <c r="CP27" s="13">
        <f t="shared" si="11"/>
        <v>0</v>
      </c>
      <c r="CQ27" s="16">
        <f t="shared" si="12"/>
        <v>0</v>
      </c>
      <c r="CR27" s="225">
        <f t="shared" si="13"/>
        <v>0</v>
      </c>
      <c r="CS27" s="11">
        <f t="shared" si="25"/>
        <v>0.40833333333333338</v>
      </c>
      <c r="CT27" s="220" t="str">
        <f t="shared" si="26"/>
        <v/>
      </c>
      <c r="CU27" s="8"/>
      <c r="CY27" s="88" t="str">
        <f>IFERROR(VLOOKUP(BA27,Cadastro!$S$3:$S$366,1,0),"")</f>
        <v/>
      </c>
      <c r="CZ27" s="89" t="str">
        <f>IFERROR(VLOOKUP(BE27,Cadastro!$S$3:$S$366,1,0),"")</f>
        <v/>
      </c>
      <c r="DA27" s="89" t="str">
        <f>IFERROR(VLOOKUP(BI27,Cadastro!$S$3:$S$366,1,0),"")</f>
        <v/>
      </c>
      <c r="DB27" s="89" t="str">
        <f>IFERROR(VLOOKUP(BM27,Cadastro!$S$3:$S$366,1,0),"")</f>
        <v/>
      </c>
      <c r="DC27" s="90" t="str">
        <f t="shared" si="14"/>
        <v/>
      </c>
      <c r="DD27" s="90" t="str">
        <f t="shared" si="15"/>
        <v/>
      </c>
      <c r="DE27" s="90" t="str">
        <f t="shared" si="16"/>
        <v/>
      </c>
      <c r="DF27" s="90" t="str">
        <f t="shared" si="17"/>
        <v/>
      </c>
    </row>
    <row r="28" spans="1:110" ht="15" customHeight="1">
      <c r="A28" s="157" t="s">
        <v>130</v>
      </c>
      <c r="B28" s="158"/>
      <c r="C28" s="159" t="s">
        <v>690</v>
      </c>
      <c r="D28" s="160"/>
      <c r="E28" s="161"/>
      <c r="F28" s="287"/>
      <c r="G28" s="287"/>
      <c r="H28" s="287"/>
      <c r="I28" s="287"/>
      <c r="J28" s="287"/>
      <c r="K28" s="287"/>
      <c r="L28" s="287"/>
      <c r="M28" s="287"/>
      <c r="N28" s="287"/>
      <c r="O28" s="287"/>
      <c r="P28" s="210">
        <f t="shared" si="18"/>
        <v>0</v>
      </c>
      <c r="Q28" s="288"/>
      <c r="R28" s="288"/>
      <c r="S28" s="288"/>
      <c r="T28" s="288"/>
      <c r="U28" s="288"/>
      <c r="V28" s="288"/>
      <c r="W28" s="288"/>
      <c r="X28" s="288"/>
      <c r="Y28" s="288"/>
      <c r="Z28" s="288"/>
      <c r="AA28" s="289"/>
      <c r="AB28" s="210">
        <f t="shared" si="19"/>
        <v>0</v>
      </c>
      <c r="AC28" s="278">
        <f t="shared" si="27"/>
        <v>0</v>
      </c>
      <c r="AD28" s="162"/>
      <c r="AE28" s="163"/>
      <c r="AF28" s="191" t="str">
        <f t="shared" si="0"/>
        <v>0</v>
      </c>
      <c r="AG28" s="164" t="s">
        <v>11</v>
      </c>
      <c r="AH28" s="165">
        <v>0.33333333333333331</v>
      </c>
      <c r="AI28" s="165">
        <v>0.65833333333333333</v>
      </c>
      <c r="AJ28" s="166"/>
      <c r="AK28" s="166"/>
      <c r="AL28" s="167"/>
      <c r="AM28" s="167"/>
      <c r="AN28" s="168"/>
      <c r="AO28" s="167"/>
      <c r="AP28" s="167"/>
      <c r="AQ28" s="168"/>
      <c r="AR28" s="167"/>
      <c r="AS28" s="167"/>
      <c r="AT28" s="168"/>
      <c r="AU28" s="167"/>
      <c r="AV28" s="167"/>
      <c r="AW28" s="168"/>
      <c r="AX28" s="169"/>
      <c r="AY28" s="170"/>
      <c r="AZ28" s="171"/>
      <c r="BA28" s="168"/>
      <c r="BB28" s="169"/>
      <c r="BC28" s="170"/>
      <c r="BD28" s="171"/>
      <c r="BE28" s="168"/>
      <c r="BF28" s="169"/>
      <c r="BG28" s="170"/>
      <c r="BH28" s="171"/>
      <c r="BI28" s="168"/>
      <c r="BJ28" s="169"/>
      <c r="BK28" s="170"/>
      <c r="BL28" s="171"/>
      <c r="BM28" s="168"/>
      <c r="BN28" s="172">
        <f t="shared" si="1"/>
        <v>0</v>
      </c>
      <c r="BO28" s="173">
        <f t="shared" si="2"/>
        <v>0</v>
      </c>
      <c r="BP28" s="174">
        <f t="shared" si="3"/>
        <v>0</v>
      </c>
      <c r="BQ28" s="175">
        <f t="shared" si="4"/>
        <v>0.32500000000000001</v>
      </c>
      <c r="BR28" s="176">
        <f t="shared" si="21"/>
        <v>0</v>
      </c>
      <c r="BS28" s="177" t="str">
        <f t="shared" si="5"/>
        <v>0:00</v>
      </c>
      <c r="BT28" s="178"/>
      <c r="BU28" s="354"/>
      <c r="BV28" s="355"/>
      <c r="BW28" s="216"/>
      <c r="BX28" s="281" t="str">
        <f>IFERROR(VLOOKUP(BU28,Cadastro!$O$3:$P$499,2,0),"")</f>
        <v/>
      </c>
      <c r="BY28" s="350"/>
      <c r="BZ28" s="351"/>
      <c r="CA28" s="350"/>
      <c r="CB28" s="351"/>
      <c r="CC28" s="19"/>
      <c r="CD28" s="322" t="str">
        <f>IFERROR(VLOOKUP(Apontamentos!A28,CT!C18:E1016,3,0),"")</f>
        <v/>
      </c>
      <c r="CE28" s="323" t="str">
        <f t="shared" si="22"/>
        <v/>
      </c>
      <c r="CF28" s="8"/>
      <c r="CG28" s="268" t="str">
        <f t="shared" si="6"/>
        <v/>
      </c>
      <c r="CH28" s="18"/>
      <c r="CI28" s="223" t="str">
        <f>IF(Cadastro!$Z$19="","",Cadastro!$Z$19)</f>
        <v/>
      </c>
      <c r="CJ28" s="224" t="str">
        <f t="shared" si="7"/>
        <v/>
      </c>
      <c r="CK28" s="10">
        <f t="shared" si="8"/>
        <v>0.40833333333333338</v>
      </c>
      <c r="CL28" s="23" t="str">
        <f>IFERROR(IF($CJ$4=TRUE,VLOOKUP(CI28,$BY$2:$BZ$9,2,0),"0:00"),"")</f>
        <v>0:00</v>
      </c>
      <c r="CM28" s="11">
        <f t="shared" si="24"/>
        <v>0.40833333333333338</v>
      </c>
      <c r="CN28" s="14">
        <f t="shared" si="9"/>
        <v>0</v>
      </c>
      <c r="CO28" s="12">
        <f t="shared" si="10"/>
        <v>0</v>
      </c>
      <c r="CP28" s="13">
        <f t="shared" si="11"/>
        <v>0</v>
      </c>
      <c r="CQ28" s="16">
        <f t="shared" si="12"/>
        <v>0</v>
      </c>
      <c r="CR28" s="225">
        <f t="shared" si="13"/>
        <v>0</v>
      </c>
      <c r="CS28" s="11">
        <f t="shared" si="25"/>
        <v>0.40833333333333338</v>
      </c>
      <c r="CT28" s="220" t="str">
        <f t="shared" si="26"/>
        <v/>
      </c>
      <c r="CU28" s="8"/>
      <c r="CY28" s="88" t="str">
        <f>IFERROR(VLOOKUP(BA28,Cadastro!$S$3:$S$366,1,0),"")</f>
        <v/>
      </c>
      <c r="CZ28" s="89" t="str">
        <f>IFERROR(VLOOKUP(BE28,Cadastro!$S$3:$S$366,1,0),"")</f>
        <v/>
      </c>
      <c r="DA28" s="89" t="str">
        <f>IFERROR(VLOOKUP(BI28,Cadastro!$S$3:$S$366,1,0),"")</f>
        <v/>
      </c>
      <c r="DB28" s="89" t="str">
        <f>IFERROR(VLOOKUP(BM28,Cadastro!$S$3:$S$366,1,0),"")</f>
        <v/>
      </c>
      <c r="DC28" s="90" t="str">
        <f t="shared" si="14"/>
        <v/>
      </c>
      <c r="DD28" s="90" t="str">
        <f t="shared" si="15"/>
        <v/>
      </c>
      <c r="DE28" s="90" t="str">
        <f t="shared" si="16"/>
        <v/>
      </c>
      <c r="DF28" s="90" t="str">
        <f t="shared" si="17"/>
        <v/>
      </c>
    </row>
    <row r="29" spans="1:110" ht="15" customHeight="1">
      <c r="A29" s="157"/>
      <c r="B29" s="158"/>
      <c r="C29" s="159"/>
      <c r="D29" s="160"/>
      <c r="E29" s="161"/>
      <c r="F29" s="287"/>
      <c r="G29" s="287"/>
      <c r="H29" s="287"/>
      <c r="I29" s="287"/>
      <c r="J29" s="287"/>
      <c r="K29" s="287"/>
      <c r="L29" s="287"/>
      <c r="M29" s="287"/>
      <c r="N29" s="287"/>
      <c r="O29" s="287"/>
      <c r="P29" s="210" t="str">
        <f t="shared" si="18"/>
        <v/>
      </c>
      <c r="Q29" s="288"/>
      <c r="R29" s="288"/>
      <c r="S29" s="288"/>
      <c r="T29" s="288"/>
      <c r="U29" s="288"/>
      <c r="V29" s="288"/>
      <c r="W29" s="288"/>
      <c r="X29" s="288"/>
      <c r="Y29" s="288"/>
      <c r="Z29" s="288"/>
      <c r="AA29" s="289"/>
      <c r="AB29" s="210" t="str">
        <f t="shared" si="19"/>
        <v/>
      </c>
      <c r="AC29" s="278" t="str">
        <f t="shared" si="27"/>
        <v/>
      </c>
      <c r="AD29" s="162"/>
      <c r="AE29" s="163"/>
      <c r="AF29" s="191" t="str">
        <f t="shared" si="0"/>
        <v/>
      </c>
      <c r="AG29" s="164"/>
      <c r="AH29" s="165"/>
      <c r="AI29" s="165"/>
      <c r="AJ29" s="166"/>
      <c r="AK29" s="166"/>
      <c r="AL29" s="167"/>
      <c r="AM29" s="167"/>
      <c r="AN29" s="168"/>
      <c r="AO29" s="167"/>
      <c r="AP29" s="167"/>
      <c r="AQ29" s="168"/>
      <c r="AR29" s="167"/>
      <c r="AS29" s="167"/>
      <c r="AT29" s="168"/>
      <c r="AU29" s="167"/>
      <c r="AV29" s="167"/>
      <c r="AW29" s="168"/>
      <c r="AX29" s="169"/>
      <c r="AY29" s="170"/>
      <c r="AZ29" s="171"/>
      <c r="BA29" s="168"/>
      <c r="BB29" s="169"/>
      <c r="BC29" s="170"/>
      <c r="BD29" s="171"/>
      <c r="BE29" s="168"/>
      <c r="BF29" s="169"/>
      <c r="BG29" s="170"/>
      <c r="BH29" s="171"/>
      <c r="BI29" s="168"/>
      <c r="BJ29" s="169"/>
      <c r="BK29" s="170"/>
      <c r="BL29" s="171"/>
      <c r="BM29" s="168"/>
      <c r="BN29" s="172" t="str">
        <f t="shared" si="1"/>
        <v/>
      </c>
      <c r="BO29" s="173" t="str">
        <f t="shared" si="2"/>
        <v/>
      </c>
      <c r="BP29" s="174" t="str">
        <f t="shared" si="3"/>
        <v/>
      </c>
      <c r="BQ29" s="175" t="str">
        <f t="shared" si="4"/>
        <v/>
      </c>
      <c r="BR29" s="176" t="str">
        <f t="shared" si="21"/>
        <v/>
      </c>
      <c r="BS29" s="177" t="str">
        <f t="shared" si="5"/>
        <v/>
      </c>
      <c r="BT29" s="178"/>
      <c r="BU29" s="354"/>
      <c r="BV29" s="355"/>
      <c r="BW29" s="216"/>
      <c r="BX29" s="281" t="str">
        <f>IFERROR(VLOOKUP(BU29,Cadastro!$O$3:$P$499,2,0),"")</f>
        <v/>
      </c>
      <c r="BY29" s="350"/>
      <c r="BZ29" s="351"/>
      <c r="CA29" s="350"/>
      <c r="CB29" s="351"/>
      <c r="CC29" s="19"/>
      <c r="CD29" s="322" t="str">
        <f>IFERROR(VLOOKUP(Apontamentos!A29,CT!C19:E1017,3,0),"")</f>
        <v/>
      </c>
      <c r="CE29" s="323" t="str">
        <f t="shared" si="22"/>
        <v/>
      </c>
      <c r="CF29" s="8"/>
      <c r="CG29" s="268" t="str">
        <f t="shared" si="6"/>
        <v/>
      </c>
      <c r="CH29" s="18"/>
      <c r="CI29" s="223" t="str">
        <f>IF(Cadastro!$Z$20="","",Cadastro!$Z$20)</f>
        <v/>
      </c>
      <c r="CJ29" s="224" t="str">
        <f t="shared" si="7"/>
        <v/>
      </c>
      <c r="CK29" s="10">
        <f t="shared" si="8"/>
        <v>0.40833333333333338</v>
      </c>
      <c r="CL29" s="23" t="str">
        <f t="shared" ref="CL29:CL31" si="29">IFERROR(IF($CJ$4=TRUE,VLOOKUP(CI29,$BY$2:$BZ$9,2,0),"0:00"),"")</f>
        <v>0:00</v>
      </c>
      <c r="CM29" s="11">
        <f t="shared" si="24"/>
        <v>0.40833333333333338</v>
      </c>
      <c r="CN29" s="14">
        <f t="shared" si="9"/>
        <v>0</v>
      </c>
      <c r="CO29" s="12">
        <f t="shared" si="10"/>
        <v>0</v>
      </c>
      <c r="CP29" s="13">
        <f t="shared" si="11"/>
        <v>0</v>
      </c>
      <c r="CQ29" s="16">
        <f t="shared" si="12"/>
        <v>0</v>
      </c>
      <c r="CR29" s="225">
        <f t="shared" si="13"/>
        <v>0</v>
      </c>
      <c r="CS29" s="11">
        <f t="shared" si="25"/>
        <v>0.40833333333333338</v>
      </c>
      <c r="CT29" s="220" t="str">
        <f t="shared" si="26"/>
        <v/>
      </c>
      <c r="CU29" s="8"/>
      <c r="CY29" s="88" t="str">
        <f>IFERROR(VLOOKUP(BA29,Cadastro!$S$3:$S$366,1,0),"")</f>
        <v/>
      </c>
      <c r="CZ29" s="89" t="str">
        <f>IFERROR(VLOOKUP(BE29,Cadastro!$S$3:$S$366,1,0),"")</f>
        <v/>
      </c>
      <c r="DA29" s="89" t="str">
        <f>IFERROR(VLOOKUP(BI29,Cadastro!$S$3:$S$366,1,0),"")</f>
        <v/>
      </c>
      <c r="DB29" s="89" t="str">
        <f>IFERROR(VLOOKUP(BM29,Cadastro!$S$3:$S$366,1,0),"")</f>
        <v/>
      </c>
      <c r="DC29" s="90" t="str">
        <f t="shared" si="14"/>
        <v/>
      </c>
      <c r="DD29" s="90" t="str">
        <f t="shared" si="15"/>
        <v/>
      </c>
      <c r="DE29" s="90" t="str">
        <f t="shared" si="16"/>
        <v/>
      </c>
      <c r="DF29" s="90" t="str">
        <f t="shared" si="17"/>
        <v/>
      </c>
    </row>
    <row r="30" spans="1:110" ht="15" customHeight="1">
      <c r="A30" s="157"/>
      <c r="B30" s="158"/>
      <c r="C30" s="159"/>
      <c r="D30" s="160"/>
      <c r="E30" s="161"/>
      <c r="F30" s="287"/>
      <c r="G30" s="287"/>
      <c r="H30" s="287"/>
      <c r="I30" s="287"/>
      <c r="J30" s="287"/>
      <c r="K30" s="287"/>
      <c r="L30" s="287"/>
      <c r="M30" s="287"/>
      <c r="N30" s="287"/>
      <c r="O30" s="287"/>
      <c r="P30" s="210" t="str">
        <f t="shared" si="18"/>
        <v/>
      </c>
      <c r="Q30" s="288"/>
      <c r="R30" s="288"/>
      <c r="S30" s="288"/>
      <c r="T30" s="288"/>
      <c r="U30" s="288"/>
      <c r="V30" s="288"/>
      <c r="W30" s="288"/>
      <c r="X30" s="288"/>
      <c r="Y30" s="288"/>
      <c r="Z30" s="288"/>
      <c r="AA30" s="289"/>
      <c r="AB30" s="210" t="str">
        <f t="shared" si="19"/>
        <v/>
      </c>
      <c r="AC30" s="278" t="str">
        <f t="shared" si="27"/>
        <v/>
      </c>
      <c r="AD30" s="162"/>
      <c r="AE30" s="163"/>
      <c r="AF30" s="191" t="str">
        <f t="shared" si="0"/>
        <v/>
      </c>
      <c r="AG30" s="164"/>
      <c r="AH30" s="165"/>
      <c r="AI30" s="165"/>
      <c r="AJ30" s="166"/>
      <c r="AK30" s="166"/>
      <c r="AL30" s="167"/>
      <c r="AM30" s="167"/>
      <c r="AN30" s="168"/>
      <c r="AO30" s="167"/>
      <c r="AP30" s="167"/>
      <c r="AQ30" s="168"/>
      <c r="AR30" s="167"/>
      <c r="AS30" s="167"/>
      <c r="AT30" s="168"/>
      <c r="AU30" s="167"/>
      <c r="AV30" s="167"/>
      <c r="AW30" s="168"/>
      <c r="AX30" s="169"/>
      <c r="AY30" s="170"/>
      <c r="AZ30" s="171"/>
      <c r="BA30" s="168"/>
      <c r="BB30" s="169"/>
      <c r="BC30" s="170"/>
      <c r="BD30" s="171"/>
      <c r="BE30" s="168"/>
      <c r="BF30" s="169"/>
      <c r="BG30" s="170"/>
      <c r="BH30" s="171"/>
      <c r="BI30" s="168"/>
      <c r="BJ30" s="169"/>
      <c r="BK30" s="170"/>
      <c r="BL30" s="171"/>
      <c r="BM30" s="168"/>
      <c r="BN30" s="172" t="str">
        <f t="shared" si="1"/>
        <v/>
      </c>
      <c r="BO30" s="173" t="str">
        <f t="shared" si="2"/>
        <v/>
      </c>
      <c r="BP30" s="174" t="str">
        <f t="shared" si="3"/>
        <v/>
      </c>
      <c r="BQ30" s="175" t="str">
        <f t="shared" si="4"/>
        <v/>
      </c>
      <c r="BR30" s="176" t="str">
        <f t="shared" si="21"/>
        <v/>
      </c>
      <c r="BS30" s="177" t="str">
        <f t="shared" si="5"/>
        <v/>
      </c>
      <c r="BT30" s="178"/>
      <c r="BU30" s="354"/>
      <c r="BV30" s="355"/>
      <c r="BW30" s="216"/>
      <c r="BX30" s="281" t="str">
        <f>IFERROR(VLOOKUP(BU30,Cadastro!$O$3:$P$499,2,0),"")</f>
        <v/>
      </c>
      <c r="BY30" s="350"/>
      <c r="BZ30" s="351"/>
      <c r="CA30" s="350"/>
      <c r="CB30" s="351"/>
      <c r="CC30" s="19"/>
      <c r="CD30" s="322" t="str">
        <f>IFERROR(VLOOKUP(Apontamentos!A30,CT!C20:E1018,3,0),"")</f>
        <v/>
      </c>
      <c r="CE30" s="323" t="str">
        <f t="shared" si="22"/>
        <v/>
      </c>
      <c r="CF30" s="8"/>
      <c r="CG30" s="268" t="str">
        <f t="shared" si="6"/>
        <v/>
      </c>
      <c r="CH30" s="18"/>
      <c r="CI30" s="223" t="str">
        <f>IF(Cadastro!$Z$21="","",Cadastro!$Z$21)</f>
        <v/>
      </c>
      <c r="CJ30" s="224" t="str">
        <f t="shared" si="7"/>
        <v/>
      </c>
      <c r="CK30" s="10">
        <f t="shared" si="8"/>
        <v>0.40833333333333338</v>
      </c>
      <c r="CL30" s="23" t="str">
        <f t="shared" si="29"/>
        <v>0:00</v>
      </c>
      <c r="CM30" s="11">
        <f t="shared" ref="CM30:CM31" si="30">(CK30+CL30)-CQ30</f>
        <v>0.40833333333333338</v>
      </c>
      <c r="CN30" s="14">
        <f t="shared" si="9"/>
        <v>0</v>
      </c>
      <c r="CO30" s="12">
        <f t="shared" si="10"/>
        <v>0</v>
      </c>
      <c r="CP30" s="13">
        <f t="shared" si="11"/>
        <v>0</v>
      </c>
      <c r="CQ30" s="16">
        <f t="shared" si="12"/>
        <v>0</v>
      </c>
      <c r="CR30" s="225">
        <f t="shared" si="13"/>
        <v>0</v>
      </c>
      <c r="CS30" s="11">
        <f t="shared" ref="CS30:CS31" si="31">CK30+CL30-(SUM(CQ30,CO30,CN30,CP30,CR30))</f>
        <v>0.40833333333333338</v>
      </c>
      <c r="CT30" s="220" t="str">
        <f t="shared" si="26"/>
        <v/>
      </c>
      <c r="CU30" s="8"/>
      <c r="CY30" s="88" t="str">
        <f>IFERROR(VLOOKUP(BA30,Cadastro!$S$3:$S$366,1,0),"")</f>
        <v/>
      </c>
      <c r="CZ30" s="89" t="str">
        <f>IFERROR(VLOOKUP(BE30,Cadastro!$S$3:$S$366,1,0),"")</f>
        <v/>
      </c>
      <c r="DA30" s="89" t="str">
        <f>IFERROR(VLOOKUP(BI30,Cadastro!$S$3:$S$366,1,0),"")</f>
        <v/>
      </c>
      <c r="DB30" s="89" t="str">
        <f>IFERROR(VLOOKUP(BM30,Cadastro!$S$3:$S$366,1,0),"")</f>
        <v/>
      </c>
      <c r="DC30" s="90" t="str">
        <f t="shared" si="14"/>
        <v/>
      </c>
      <c r="DD30" s="90" t="str">
        <f t="shared" si="15"/>
        <v/>
      </c>
      <c r="DE30" s="90" t="str">
        <f t="shared" si="16"/>
        <v/>
      </c>
      <c r="DF30" s="90" t="str">
        <f t="shared" si="17"/>
        <v/>
      </c>
    </row>
    <row r="31" spans="1:110" ht="15" customHeight="1">
      <c r="A31" s="157"/>
      <c r="B31" s="158"/>
      <c r="C31" s="159"/>
      <c r="D31" s="160"/>
      <c r="E31" s="161"/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10" t="str">
        <f t="shared" si="18"/>
        <v/>
      </c>
      <c r="Q31" s="288"/>
      <c r="R31" s="288"/>
      <c r="S31" s="288"/>
      <c r="T31" s="288"/>
      <c r="U31" s="288"/>
      <c r="V31" s="288"/>
      <c r="W31" s="288"/>
      <c r="X31" s="288"/>
      <c r="Y31" s="288"/>
      <c r="Z31" s="288"/>
      <c r="AA31" s="289"/>
      <c r="AB31" s="210" t="str">
        <f t="shared" si="19"/>
        <v/>
      </c>
      <c r="AC31" s="278" t="str">
        <f t="shared" si="27"/>
        <v/>
      </c>
      <c r="AD31" s="162"/>
      <c r="AE31" s="163"/>
      <c r="AF31" s="191" t="str">
        <f t="shared" si="0"/>
        <v/>
      </c>
      <c r="AG31" s="164"/>
      <c r="AH31" s="165"/>
      <c r="AI31" s="165"/>
      <c r="AJ31" s="166"/>
      <c r="AK31" s="166"/>
      <c r="AL31" s="167"/>
      <c r="AM31" s="167"/>
      <c r="AN31" s="168"/>
      <c r="AO31" s="167"/>
      <c r="AP31" s="167"/>
      <c r="AQ31" s="168"/>
      <c r="AR31" s="167"/>
      <c r="AS31" s="167"/>
      <c r="AT31" s="168"/>
      <c r="AU31" s="167"/>
      <c r="AV31" s="167"/>
      <c r="AW31" s="168"/>
      <c r="AX31" s="169"/>
      <c r="AY31" s="170"/>
      <c r="AZ31" s="171"/>
      <c r="BA31" s="168"/>
      <c r="BB31" s="169"/>
      <c r="BC31" s="170"/>
      <c r="BD31" s="171"/>
      <c r="BE31" s="168"/>
      <c r="BF31" s="169"/>
      <c r="BG31" s="170"/>
      <c r="BH31" s="171"/>
      <c r="BI31" s="168"/>
      <c r="BJ31" s="169"/>
      <c r="BK31" s="170"/>
      <c r="BL31" s="171"/>
      <c r="BM31" s="168"/>
      <c r="BN31" s="172" t="str">
        <f t="shared" si="1"/>
        <v/>
      </c>
      <c r="BO31" s="173" t="str">
        <f t="shared" si="2"/>
        <v/>
      </c>
      <c r="BP31" s="174" t="str">
        <f t="shared" si="3"/>
        <v/>
      </c>
      <c r="BQ31" s="175" t="str">
        <f t="shared" si="4"/>
        <v/>
      </c>
      <c r="BR31" s="176" t="str">
        <f t="shared" si="21"/>
        <v/>
      </c>
      <c r="BS31" s="177" t="str">
        <f t="shared" si="5"/>
        <v/>
      </c>
      <c r="BT31" s="178"/>
      <c r="BU31" s="354"/>
      <c r="BV31" s="355"/>
      <c r="BW31" s="216"/>
      <c r="BX31" s="281" t="str">
        <f>IFERROR(VLOOKUP(BU31,Cadastro!$O$3:$P$499,2,0),"")</f>
        <v/>
      </c>
      <c r="BY31" s="350"/>
      <c r="BZ31" s="351"/>
      <c r="CA31" s="350"/>
      <c r="CB31" s="351"/>
      <c r="CC31" s="19"/>
      <c r="CD31" s="322" t="str">
        <f>IFERROR(VLOOKUP(Apontamentos!A31,CT!C21:E1019,3,0),"")</f>
        <v/>
      </c>
      <c r="CE31" s="323" t="str">
        <f t="shared" si="22"/>
        <v/>
      </c>
      <c r="CF31" s="8"/>
      <c r="CG31" s="268" t="str">
        <f t="shared" si="6"/>
        <v/>
      </c>
      <c r="CH31" s="18"/>
      <c r="CI31" s="223" t="str">
        <f>IF(Cadastro!$Z$22="","",Cadastro!$Z$22)</f>
        <v/>
      </c>
      <c r="CJ31" s="224" t="str">
        <f t="shared" si="7"/>
        <v/>
      </c>
      <c r="CK31" s="10">
        <f t="shared" si="8"/>
        <v>0.40833333333333338</v>
      </c>
      <c r="CL31" s="23" t="str">
        <f t="shared" si="29"/>
        <v>0:00</v>
      </c>
      <c r="CM31" s="11">
        <f t="shared" si="30"/>
        <v>0.40833333333333338</v>
      </c>
      <c r="CN31" s="14">
        <f t="shared" si="9"/>
        <v>0</v>
      </c>
      <c r="CO31" s="12">
        <f t="shared" si="10"/>
        <v>0</v>
      </c>
      <c r="CP31" s="13">
        <f t="shared" si="11"/>
        <v>0</v>
      </c>
      <c r="CQ31" s="16">
        <f t="shared" si="12"/>
        <v>0</v>
      </c>
      <c r="CR31" s="225">
        <f t="shared" si="13"/>
        <v>0</v>
      </c>
      <c r="CS31" s="11">
        <f t="shared" si="31"/>
        <v>0.40833333333333338</v>
      </c>
      <c r="CT31" s="220" t="str">
        <f t="shared" si="26"/>
        <v/>
      </c>
      <c r="CU31" s="8"/>
      <c r="CY31" s="88" t="str">
        <f>IFERROR(VLOOKUP(BA31,Cadastro!$S$3:$S$366,1,0),"")</f>
        <v/>
      </c>
      <c r="CZ31" s="89" t="str">
        <f>IFERROR(VLOOKUP(BE31,Cadastro!$S$3:$S$366,1,0),"")</f>
        <v/>
      </c>
      <c r="DA31" s="89" t="str">
        <f>IFERROR(VLOOKUP(BI31,Cadastro!$S$3:$S$366,1,0),"")</f>
        <v/>
      </c>
      <c r="DB31" s="89" t="str">
        <f>IFERROR(VLOOKUP(BM31,Cadastro!$S$3:$S$366,1,0),"")</f>
        <v/>
      </c>
      <c r="DC31" s="90" t="str">
        <f t="shared" si="14"/>
        <v/>
      </c>
      <c r="DD31" s="90" t="str">
        <f t="shared" si="15"/>
        <v/>
      </c>
      <c r="DE31" s="90" t="str">
        <f t="shared" si="16"/>
        <v/>
      </c>
      <c r="DF31" s="90" t="str">
        <f t="shared" si="17"/>
        <v/>
      </c>
    </row>
  </sheetData>
  <autoFilter ref="A11:BM31"/>
  <dataConsolidate/>
  <mergeCells count="77">
    <mergeCell ref="D7:D9"/>
    <mergeCell ref="BU11:BV11"/>
    <mergeCell ref="BU27:BV27"/>
    <mergeCell ref="BU28:BV28"/>
    <mergeCell ref="BU29:BV29"/>
    <mergeCell ref="BU21:BV21"/>
    <mergeCell ref="BM7:BN7"/>
    <mergeCell ref="BU30:BV30"/>
    <mergeCell ref="BU31:BV31"/>
    <mergeCell ref="BU12:BV12"/>
    <mergeCell ref="BU13:BV13"/>
    <mergeCell ref="BU14:BV14"/>
    <mergeCell ref="BU15:BV15"/>
    <mergeCell ref="BU16:BV16"/>
    <mergeCell ref="BU22:BV22"/>
    <mergeCell ref="BU23:BV23"/>
    <mergeCell ref="BU24:BV24"/>
    <mergeCell ref="BU25:BV25"/>
    <mergeCell ref="BU26:BV26"/>
    <mergeCell ref="BU17:BV17"/>
    <mergeCell ref="BU18:BV18"/>
    <mergeCell ref="BU19:BV19"/>
    <mergeCell ref="BU20:BV20"/>
    <mergeCell ref="BY11:BZ11"/>
    <mergeCell ref="BY12:BZ12"/>
    <mergeCell ref="BY13:BZ13"/>
    <mergeCell ref="BY14:BZ14"/>
    <mergeCell ref="BY15:BZ15"/>
    <mergeCell ref="BY16:BZ16"/>
    <mergeCell ref="BY17:BZ17"/>
    <mergeCell ref="BY18:BZ18"/>
    <mergeCell ref="BY19:BZ19"/>
    <mergeCell ref="BY20:BZ20"/>
    <mergeCell ref="BY21:BZ21"/>
    <mergeCell ref="BY22:BZ22"/>
    <mergeCell ref="BY23:BZ23"/>
    <mergeCell ref="BY24:BZ24"/>
    <mergeCell ref="BY30:BZ30"/>
    <mergeCell ref="BY25:BZ25"/>
    <mergeCell ref="BY26:BZ26"/>
    <mergeCell ref="BY27:BZ27"/>
    <mergeCell ref="BY28:BZ28"/>
    <mergeCell ref="BY29:BZ29"/>
    <mergeCell ref="BY31:BZ31"/>
    <mergeCell ref="CA11:CB11"/>
    <mergeCell ref="CA12:CB12"/>
    <mergeCell ref="CA13:CB13"/>
    <mergeCell ref="CA14:CB14"/>
    <mergeCell ref="CA15:CB15"/>
    <mergeCell ref="CA16:CB16"/>
    <mergeCell ref="CA17:CB17"/>
    <mergeCell ref="CA18:CB18"/>
    <mergeCell ref="CA19:CB19"/>
    <mergeCell ref="CA20:CB20"/>
    <mergeCell ref="CA21:CB21"/>
    <mergeCell ref="CA22:CB22"/>
    <mergeCell ref="CA23:CB23"/>
    <mergeCell ref="CA29:CB29"/>
    <mergeCell ref="CA30:CB30"/>
    <mergeCell ref="CA31:CB31"/>
    <mergeCell ref="CA24:CB24"/>
    <mergeCell ref="CA25:CB25"/>
    <mergeCell ref="CA26:CB26"/>
    <mergeCell ref="CA27:CB27"/>
    <mergeCell ref="CA28:CB28"/>
    <mergeCell ref="BB6:BC6"/>
    <mergeCell ref="AW4:AX4"/>
    <mergeCell ref="AW3:AX3"/>
    <mergeCell ref="BM2:BN2"/>
    <mergeCell ref="BM3:BN3"/>
    <mergeCell ref="BM6:BN6"/>
    <mergeCell ref="BF3:BG3"/>
    <mergeCell ref="BF5:BG5"/>
    <mergeCell ref="BF4:BG4"/>
    <mergeCell ref="BB3:BC3"/>
    <mergeCell ref="BB4:BC4"/>
    <mergeCell ref="BB5:BC5"/>
  </mergeCells>
  <conditionalFormatting sqref="BR12:BS31">
    <cfRule type="cellIs" dxfId="111" priority="346" operator="lessThan">
      <formula>0</formula>
    </cfRule>
  </conditionalFormatting>
  <conditionalFormatting sqref="BO7:BQ7 BM8:BP8">
    <cfRule type="cellIs" dxfId="110" priority="345" operator="lessThan">
      <formula>0</formula>
    </cfRule>
  </conditionalFormatting>
  <conditionalFormatting sqref="BT3 CT12:CT31">
    <cfRule type="containsText" dxfId="109" priority="333" operator="containsText" text="Apontamento Correto">
      <formula>NOT(ISERROR(SEARCH("Apontamento Correto",BT3)))</formula>
    </cfRule>
    <cfRule type="expression" dxfId="108" priority="334">
      <formula>BS3&lt;&gt;0</formula>
    </cfRule>
  </conditionalFormatting>
  <conditionalFormatting sqref="CI12:CI31">
    <cfRule type="expression" dxfId="107" priority="366">
      <formula>CT12="Apontamento em Excesso"</formula>
    </cfRule>
    <cfRule type="expression" dxfId="106" priority="367">
      <formula>CT12="Falta Apontamento"</formula>
    </cfRule>
    <cfRule type="expression" dxfId="105" priority="368">
      <formula>CT12="Apontamento Correto"</formula>
    </cfRule>
  </conditionalFormatting>
  <conditionalFormatting sqref="BU6:BU9">
    <cfRule type="expression" dxfId="104" priority="260">
      <formula>CT16="Apontamento em Excesso"</formula>
    </cfRule>
    <cfRule type="expression" dxfId="103" priority="261">
      <formula>CT16="Falta Apontamento"</formula>
    </cfRule>
    <cfRule type="expression" dxfId="102" priority="262">
      <formula>CT16="Apontamento Correto"</formula>
    </cfRule>
  </conditionalFormatting>
  <conditionalFormatting sqref="BY2 BY4">
    <cfRule type="expression" dxfId="101" priority="221">
      <formula>CT28="Apontamento em Excesso"</formula>
    </cfRule>
    <cfRule type="expression" dxfId="100" priority="222">
      <formula>CT28="Falta Apontamento"</formula>
    </cfRule>
    <cfRule type="expression" dxfId="99" priority="223">
      <formula>CT28="Apontamento Correto"</formula>
    </cfRule>
  </conditionalFormatting>
  <conditionalFormatting sqref="BY3">
    <cfRule type="expression" dxfId="98" priority="218">
      <formula>CT29="Apontamento em Excesso"</formula>
    </cfRule>
    <cfRule type="expression" dxfId="97" priority="219">
      <formula>CT29="Falta Apontamento"</formula>
    </cfRule>
    <cfRule type="expression" dxfId="96" priority="220">
      <formula>CT29="Apontamento Correto"</formula>
    </cfRule>
  </conditionalFormatting>
  <conditionalFormatting sqref="BY5">
    <cfRule type="expression" dxfId="95" priority="526">
      <formula>CT31="Apontamento em Excesso"</formula>
    </cfRule>
    <cfRule type="expression" dxfId="94" priority="527">
      <formula>CT31="Falta Apontamento"</formula>
    </cfRule>
    <cfRule type="expression" dxfId="93" priority="528">
      <formula>CT31="Apontamento Correto"</formula>
    </cfRule>
  </conditionalFormatting>
  <conditionalFormatting sqref="BU2:BU5">
    <cfRule type="expression" dxfId="92" priority="583">
      <formula>CT12="Apontamento em Excesso"</formula>
    </cfRule>
    <cfRule type="expression" dxfId="91" priority="584">
      <formula>CT12="Falta Apontamento"</formula>
    </cfRule>
    <cfRule type="expression" dxfId="90" priority="585">
      <formula>CT12="Apontamento Correto"</formula>
    </cfRule>
  </conditionalFormatting>
  <conditionalFormatting sqref="BW2:BW9">
    <cfRule type="expression" dxfId="89" priority="604">
      <formula>CT20="Apontamento em Excesso"</formula>
    </cfRule>
    <cfRule type="expression" dxfId="88" priority="605">
      <formula>CT20="Falta Apontamento"</formula>
    </cfRule>
    <cfRule type="expression" dxfId="87" priority="606">
      <formula>CT20="Apontamento Correto"</formula>
    </cfRule>
  </conditionalFormatting>
  <conditionalFormatting sqref="CC8:CG9">
    <cfRule type="containsText" dxfId="86" priority="609" operator="containsText" text="Apontamento Correto">
      <formula>NOT(ISERROR(SEARCH("Apontamento Correto",CC8)))</formula>
    </cfRule>
  </conditionalFormatting>
  <conditionalFormatting sqref="BX2:BX9 BZ2:BZ9 CB2:CB9 BV2:BV9">
    <cfRule type="expression" dxfId="85" priority="160">
      <formula>$CJ$4=TRUE</formula>
    </cfRule>
  </conditionalFormatting>
  <conditionalFormatting sqref="AD12:AE31">
    <cfRule type="expression" dxfId="84" priority="73">
      <formula>AND($A12="COMPONENTE",AD12&lt;&gt;"")</formula>
    </cfRule>
    <cfRule type="expression" dxfId="83" priority="147">
      <formula>AND($A12="SEM DEMANDA",AD12&lt;&gt;"")</formula>
    </cfRule>
  </conditionalFormatting>
  <conditionalFormatting sqref="AQ12:AQ31 AT12:AT31 AW12:AW31 AN12:AN31">
    <cfRule type="expression" dxfId="82" priority="145">
      <formula>AND(AN12&lt;&gt;"",AL12="")</formula>
    </cfRule>
    <cfRule type="expression" dxfId="81" priority="146">
      <formula>AND(AN12="",AL12&lt;&gt;"")</formula>
    </cfRule>
  </conditionalFormatting>
  <conditionalFormatting sqref="BA12:BA31 BE12:BE31 BI12:BI31 BM12:BM31">
    <cfRule type="expression" dxfId="80" priority="141">
      <formula>AND(BA12&lt;&gt;"",AX12="")</formula>
    </cfRule>
    <cfRule type="expression" dxfId="79" priority="142">
      <formula>AND(BA12="",AX12&lt;&gt;"")</formula>
    </cfRule>
  </conditionalFormatting>
  <conditionalFormatting sqref="AC12:AC31">
    <cfRule type="expression" dxfId="78" priority="75">
      <formula>AND(OR(A12="COMPONENTE",A12="DEVOLUCAO"),AC12&lt;&gt;0)</formula>
    </cfRule>
    <cfRule type="expression" dxfId="77" priority="109">
      <formula>AND(A12="SEM DEMANDA",AC12&lt;&gt;0)</formula>
    </cfRule>
  </conditionalFormatting>
  <conditionalFormatting sqref="AK12:AK31 AM12:AM31 AP12:AP31 AS12:AS31 AV12:AV31 AY12:AY31 BC12:BC31 BG12:BG31 BK12:BK31">
    <cfRule type="expression" dxfId="76" priority="97">
      <formula>AND(AJ12&lt;&gt;"",AK12="")</formula>
    </cfRule>
  </conditionalFormatting>
  <conditionalFormatting sqref="AJ12:AJ31 AL12:AL31 AO12:AO31 AR12:AR31 AU12:AU31 AX12:AX31 BF12:BF31 BJ12:BJ31">
    <cfRule type="expression" dxfId="75" priority="71">
      <formula>AND(AK12&lt;&gt;"",AJ12="")</formula>
    </cfRule>
  </conditionalFormatting>
  <conditionalFormatting sqref="BB12:BB31">
    <cfRule type="expression" dxfId="74" priority="65">
      <formula>AND(BC12&lt;&gt;"",BB12="")</formula>
    </cfRule>
  </conditionalFormatting>
  <conditionalFormatting sqref="BA12:BA31">
    <cfRule type="expression" dxfId="73" priority="54">
      <formula>BA12&lt;&gt;CY12</formula>
    </cfRule>
  </conditionalFormatting>
  <conditionalFormatting sqref="BE12:BE31">
    <cfRule type="expression" dxfId="72" priority="42">
      <formula>BE12&lt;&gt;CZ12</formula>
    </cfRule>
  </conditionalFormatting>
  <conditionalFormatting sqref="BI12:BI31">
    <cfRule type="expression" dxfId="71" priority="39">
      <formula>BI12&lt;&gt;DA12</formula>
    </cfRule>
  </conditionalFormatting>
  <conditionalFormatting sqref="BM12:BM31">
    <cfRule type="expression" dxfId="70" priority="36">
      <formula>BM12&lt;&gt;DB12</formula>
    </cfRule>
  </conditionalFormatting>
  <conditionalFormatting sqref="AZ12:AZ31">
    <cfRule type="expression" dxfId="69" priority="630">
      <formula>AZ12&lt;&gt;DC12</formula>
    </cfRule>
    <cfRule type="expression" dxfId="68" priority="631">
      <formula>AND(AZ12&lt;&gt;"",AX12="")</formula>
    </cfRule>
    <cfRule type="expression" dxfId="67" priority="632">
      <formula>AND(AZ12="",AX12&lt;&gt;"")</formula>
    </cfRule>
  </conditionalFormatting>
  <conditionalFormatting sqref="BD12:BD31">
    <cfRule type="expression" dxfId="66" priority="638">
      <formula>BD12&lt;&gt;DD12</formula>
    </cfRule>
    <cfRule type="expression" dxfId="65" priority="639">
      <formula>AND(BD12&lt;&gt;"",BB12="")</formula>
    </cfRule>
    <cfRule type="expression" dxfId="64" priority="640">
      <formula>AND(BD12="",BB12&lt;&gt;"")</formula>
    </cfRule>
  </conditionalFormatting>
  <conditionalFormatting sqref="BH12:BH31">
    <cfRule type="expression" dxfId="63" priority="641">
      <formula>BH12&lt;&gt;DE12</formula>
    </cfRule>
    <cfRule type="expression" dxfId="62" priority="642">
      <formula>AND(BH12&lt;&gt;"",BF12="")</formula>
    </cfRule>
    <cfRule type="expression" dxfId="61" priority="643">
      <formula>AND(BH12="",BF12&lt;&gt;"")</formula>
    </cfRule>
  </conditionalFormatting>
  <conditionalFormatting sqref="BL12:BL31">
    <cfRule type="expression" dxfId="60" priority="644">
      <formula>BL12&lt;&gt;DF12</formula>
    </cfRule>
    <cfRule type="expression" dxfId="59" priority="645">
      <formula>AND(BL12&lt;&gt;"",BJ12="")</formula>
    </cfRule>
    <cfRule type="expression" dxfId="58" priority="646">
      <formula>AND(BL12="",BJ12&lt;&gt;"")</formula>
    </cfRule>
  </conditionalFormatting>
  <conditionalFormatting sqref="CA9">
    <cfRule type="expression" dxfId="57" priority="24">
      <formula>$CJ$4=TRUE</formula>
    </cfRule>
  </conditionalFormatting>
  <conditionalFormatting sqref="BU2:CB9">
    <cfRule type="cellIs" dxfId="56" priority="23" operator="equal">
      <formula>"Retrabalho"</formula>
    </cfRule>
  </conditionalFormatting>
  <conditionalFormatting sqref="BS3">
    <cfRule type="expression" dxfId="55" priority="710">
      <formula>$BS$4=TRUE</formula>
    </cfRule>
  </conditionalFormatting>
  <conditionalFormatting sqref="AB12:AB31">
    <cfRule type="expression" dxfId="54" priority="13">
      <formula>AND(OR(A12="COMPONENTE",A12="DEVOLUCAO"),AB12&lt;&gt;0)</formula>
    </cfRule>
    <cfRule type="expression" dxfId="53" priority="14">
      <formula>AND(A12="SEM DEMANDA",AB12&lt;&gt;0)</formula>
    </cfRule>
  </conditionalFormatting>
  <conditionalFormatting sqref="A12:A31">
    <cfRule type="expression" dxfId="52" priority="722">
      <formula>AND(OR($A12="COMPONENTE",$A12="DEVOLUCAO"),$BU12="")</formula>
    </cfRule>
    <cfRule type="expression" dxfId="51" priority="723">
      <formula>AND(A11&lt;&gt;"",A13&lt;&gt;"",A12="")</formula>
    </cfRule>
  </conditionalFormatting>
  <conditionalFormatting sqref="AH12:AH31">
    <cfRule type="expression" dxfId="50" priority="724">
      <formula>AND(AI12&lt;&gt;"",AH12="")</formula>
    </cfRule>
    <cfRule type="expression" dxfId="49" priority="725">
      <formula>AND(OR(A12="TRY OUT",A12="SEM DEMANDA"),AH12="")</formula>
    </cfRule>
  </conditionalFormatting>
  <conditionalFormatting sqref="AI12:AI31">
    <cfRule type="expression" dxfId="48" priority="726">
      <formula>AND(AH12&lt;&gt;"",AI12="")</formula>
    </cfRule>
    <cfRule type="expression" dxfId="47" priority="727">
      <formula>AND(OR(A12="TRY OUT",A12="SEM DEMANDA"),AI12="")</formula>
    </cfRule>
  </conditionalFormatting>
  <conditionalFormatting sqref="A12:A31">
    <cfRule type="expression" dxfId="46" priority="728">
      <formula>IF($A12="SEM DEMANDA",AND(OR(AJ12&lt;&gt;"",AL12&lt;&gt;"",AO12&lt;&gt;"",AR12&lt;&gt;"",AU12&lt;&gt;"",AX12&lt;&gt;"",BB12&lt;&gt;"",BF12&lt;&gt;"",BJ12&lt;&gt;"")))</formula>
    </cfRule>
    <cfRule type="expression" dxfId="45" priority="729">
      <formula>$BY12&lt;&gt;""</formula>
    </cfRule>
  </conditionalFormatting>
  <conditionalFormatting sqref="D12:D31">
    <cfRule type="expression" dxfId="44" priority="730">
      <formula>AND(A12="RETRABALHO",D12="")</formula>
    </cfRule>
    <cfRule type="expression" dxfId="43" priority="731">
      <formula>AND(OR(A12="COMPONENTE",A12="DEVOLUCAO"),D12&lt;&gt;"")</formula>
    </cfRule>
    <cfRule type="expression" dxfId="42" priority="732">
      <formula>AND(A12&lt;&gt;"",A12&lt;&gt;"SEM DEMANDA",A12&lt;&gt;"TRY OUT",A12&lt;&gt;"COMPONENTE",A12&lt;&gt;"DEVOLUCAO",D12="",BW12="")</formula>
    </cfRule>
    <cfRule type="expression" dxfId="41" priority="733">
      <formula>AND(A12="SEM DEMANDA",D12&lt;&gt;"")</formula>
    </cfRule>
  </conditionalFormatting>
  <conditionalFormatting sqref="BR12:BR31">
    <cfRule type="expression" dxfId="40" priority="738">
      <formula>AND($BR12=0,$D12&lt;&gt;0)</formula>
    </cfRule>
  </conditionalFormatting>
  <conditionalFormatting sqref="BU12:BV31">
    <cfRule type="expression" dxfId="39" priority="736">
      <formula>AND(OR($A12="COMPONENTE",$A12="DEVOLUCAO"),$BU12="")</formula>
    </cfRule>
    <cfRule type="expression" dxfId="38" priority="741">
      <formula>AND(OR($A12="COMPONENTE",$A12="DEVOLUCAO"),$BU12="")</formula>
    </cfRule>
  </conditionalFormatting>
  <conditionalFormatting sqref="BY12:BZ14 BY17:BZ31">
    <cfRule type="expression" dxfId="37" priority="737">
      <formula>AND(OR($A12="COMPONENTE",$A12="DEVOLUCAO"),$BY12="")</formula>
    </cfRule>
    <cfRule type="expression" dxfId="36" priority="742">
      <formula>AND(OR($A12="COMPONENTE",$A12="DEVOLUCAO"),$BY12="")</formula>
    </cfRule>
  </conditionalFormatting>
  <conditionalFormatting sqref="P12:P31">
    <cfRule type="expression" dxfId="35" priority="743">
      <formula>AND(OR(A12="COMPONENTE",A12="DEVOLUCAO"),P12&lt;&gt;0)</formula>
    </cfRule>
    <cfRule type="expression" dxfId="34" priority="744">
      <formula>AND(A12="SEM DEMANDA",P12&lt;&gt;0)</formula>
    </cfRule>
    <cfRule type="expression" dxfId="33" priority="745">
      <formula>AND($C12="RETRABALHO",$P12&lt;&gt;0)</formula>
    </cfRule>
  </conditionalFormatting>
  <conditionalFormatting sqref="CA12:CB31">
    <cfRule type="expression" dxfId="32" priority="16">
      <formula>AND($BY12="TRANSFERÊNCIA",$CA12="")</formula>
    </cfRule>
    <cfRule type="expression" dxfId="31" priority="17">
      <formula>AND($BY12="BAIXA",$CA12&lt;&gt;"")</formula>
    </cfRule>
    <cfRule type="expression" dxfId="30" priority="78">
      <formula>AND($BY12="TRANSFERÊNCIA",$CA12="")</formula>
    </cfRule>
    <cfRule type="expression" dxfId="29" priority="103">
      <formula>AND($BY12="BAIXA",$CA12&lt;&gt;"")</formula>
    </cfRule>
  </conditionalFormatting>
  <conditionalFormatting sqref="BW12:BX14 BW17:BX31">
    <cfRule type="expression" dxfId="28" priority="734">
      <formula>AND($BY12&lt;&gt;"",$BW12="")</formula>
    </cfRule>
    <cfRule type="expression" dxfId="27" priority="735">
      <formula>AND(OR($A12="COMPONENTE",$A12="DEVOLUCAO"),$BW12="")</formula>
    </cfRule>
    <cfRule type="expression" dxfId="26" priority="739">
      <formula>AND($BY12&lt;&gt;"",$BW12="")</formula>
    </cfRule>
    <cfRule type="expression" dxfId="25" priority="740">
      <formula>AND(OR($A12="COMPONENTE",$A12="DEVOLUCAO"),$BW12="")</formula>
    </cfRule>
  </conditionalFormatting>
  <conditionalFormatting sqref="BK6:BK7">
    <cfRule type="expression" dxfId="24" priority="748">
      <formula>$BK$6="Início"</formula>
    </cfRule>
  </conditionalFormatting>
  <conditionalFormatting sqref="BL6:BL7">
    <cfRule type="expression" dxfId="23" priority="749">
      <formula>$BK$6="Início"</formula>
    </cfRule>
  </conditionalFormatting>
  <conditionalFormatting sqref="BF4">
    <cfRule type="expression" dxfId="22" priority="7">
      <formula>OR($BF$4&lt;$BF$3,$BF$4&gt;$BF$3)</formula>
    </cfRule>
  </conditionalFormatting>
  <conditionalFormatting sqref="BY6:BY9">
    <cfRule type="expression" dxfId="21" priority="755">
      <formula>#REF!="Apontamento em Excesso"</formula>
    </cfRule>
    <cfRule type="expression" dxfId="20" priority="756">
      <formula>#REF!="Falta Apontamento"</formula>
    </cfRule>
    <cfRule type="expression" dxfId="19" priority="757">
      <formula>#REF!="Apontamento Correto"</formula>
    </cfRule>
  </conditionalFormatting>
  <conditionalFormatting sqref="CA2:CA8">
    <cfRule type="expression" dxfId="18" priority="758">
      <formula>#REF!="Apontamento em Excesso"</formula>
    </cfRule>
    <cfRule type="expression" dxfId="17" priority="759">
      <formula>#REF!="Falta Apontamento"</formula>
    </cfRule>
    <cfRule type="expression" dxfId="16" priority="760">
      <formula>#REF!="Apontamento Correto"</formula>
    </cfRule>
  </conditionalFormatting>
  <conditionalFormatting sqref="BY15:BZ16">
    <cfRule type="expression" dxfId="13" priority="3">
      <formula>AND(OR($A15="COMPONENTE",$A15="DEVOLUCAO"),$BY15="")</formula>
    </cfRule>
    <cfRule type="expression" dxfId="12" priority="6">
      <formula>AND(OR($A15="COMPONENTE",$A15="DEVOLUCAO"),$BY15="")</formula>
    </cfRule>
  </conditionalFormatting>
  <conditionalFormatting sqref="BW15:BX16">
    <cfRule type="expression" dxfId="11" priority="1">
      <formula>AND($BY15&lt;&gt;"",$BW15="")</formula>
    </cfRule>
    <cfRule type="expression" dxfId="10" priority="2">
      <formula>AND(OR($A15="COMPONENTE",$A15="DEVOLUCAO"),$BW15="")</formula>
    </cfRule>
    <cfRule type="expression" dxfId="9" priority="4">
      <formula>AND($BY15&lt;&gt;"",$BW15="")</formula>
    </cfRule>
    <cfRule type="expression" dxfId="8" priority="5">
      <formula>AND(OR($A15="COMPONENTE",$A15="DEVOLUCAO"),$BW15="")</formula>
    </cfRule>
  </conditionalFormatting>
  <dataValidations xWindow="729" yWindow="469" count="51">
    <dataValidation type="decimal" allowBlank="1" showInputMessage="1" showErrorMessage="1" sqref="D12:D31">
      <formula1>0</formula1>
      <formula2>9999999999999990000</formula2>
    </dataValidation>
    <dataValidation type="list" allowBlank="1" showInputMessage="1" showErrorMessage="1" sqref="BY12:BZ31">
      <formula1>"BAIXA,TRANSFERÊNCIA"</formula1>
    </dataValidation>
    <dataValidation type="decimal" allowBlank="1" showInputMessage="1" showErrorMessage="1" sqref="AD12:AE31">
      <formula1>0</formula1>
      <formula2>1000000</formula2>
    </dataValidation>
    <dataValidation allowBlank="1" showInputMessage="1" showErrorMessage="1" promptTitle="KANBAN" prompt="Inserir o Kanban da peça. Para os casos em que não houver demanda, preencher “Sem Demanda”." sqref="A11"/>
    <dataValidation allowBlank="1" showInputMessage="1" showErrorMessage="1" promptTitle="PEÇAS SIMULTÂNEAS" prompt="O campo de peças simultâneas refere-se às peças que são produzidas ao mesmo tempo e no mesmo equipamento (dupla cavidade). Nestes casos, preencher com “SIM”, caso contrário, manter o campo vazio._x000a_" sqref="B11"/>
    <dataValidation allowBlank="1" showInputMessage="1" showErrorMessage="1" promptTitle="MÁQUINA/LINHA" prompt="Preencher com a descrição da máquina ou linha onde o Kanban é produzido." sqref="C11"/>
    <dataValidation allowBlank="1" showInputMessage="1" showErrorMessage="1" promptTitle="QUANTIDADE PRODUZIDA" prompt="Informar a quantidade total produzida, incluindo defeitos." sqref="D11"/>
    <dataValidation allowBlank="1" showInputMessage="1" showErrorMessage="1" promptTitle="UNIDADE DE MEDIDA" prompt="Preencher conforme a unidade de medida do que foi produzido (kg, peças, metros, etc). _x000a_" sqref="E11"/>
    <dataValidation allowBlank="1" showInputMessage="1" showErrorMessage="1" promptTitle="SETUP (KG)" prompt="Informar a quantidade de matéria-prima/insumos em quilos utilizada durante o setup que será descartada." sqref="AD11"/>
    <dataValidation allowBlank="1" showInputMessage="1" showErrorMessage="1" promptTitle="PERDA (KG)" prompt="Informar a quantidade da perda de matéria-prima/insumos em quilos durante a produção do Kanban mencionado (perdas inerentes ao processo)._x000a_" sqref="AE11"/>
    <dataValidation allowBlank="1" showInputMessage="1" showErrorMessage="1" promptTitle="PEÇAS BOAS" prompt="Quantidade total de peças boas do Kanban mencionado = (total produzido - total de defeitos)" sqref="AF11"/>
    <dataValidation allowBlank="1" showInputMessage="1" showErrorMessage="1" promptTitle="TURNO" prompt="Preencher o turno em que a produção ocorreu. Ex.: Turno A, Turno B ou Turno C." sqref="AG11"/>
    <dataValidation allowBlank="1" showInputMessage="1" showErrorMessage="1" promptTitle="HORÁRIO DE PRODUÇÃO" prompt="É todo o horário compreendido desde o inicio até o fim da produção do Kanban mencionado, incluindo paradas e setup._x000a_" sqref="AH11:AI11"/>
    <dataValidation allowBlank="1" showInputMessage="1" showErrorMessage="1" promptTitle="SETUP" prompt="Tempo compreendido entre a preparação da máquina/linha até o momento em que iniciar a saída de peças." sqref="AJ11:AK11"/>
    <dataValidation allowBlank="1" showInputMessage="1" showErrorMessage="1" promptTitle="MOTIVO (PARADA PROG.)" prompt="Informar o motivo da parada programada (selecionar as opções disponíveis)." sqref="AT11 AN11 AQ11 AW11"/>
    <dataValidation allowBlank="1" showInputMessage="1" showErrorMessage="1" promptTitle="MOTIVO (PARADA NÃO PROG.)" prompt="Informar o motivo da parada não programada (selecionar as opções disponíveis)." sqref="BA11 BE11 BI11 BM11"/>
    <dataValidation allowBlank="1" showInputMessage="1" showErrorMessage="1" promptTitle="TEMPO SETUP" prompt="Somatória do tempo utilizado para o setup da máquina/linha." sqref="BN11"/>
    <dataValidation allowBlank="1" showInputMessage="1" showErrorMessage="1" promptTitle="TEMPO PARADAS PROG." prompt="Somatória do tempo utilizado para as paradas programadas da máquina/linha." sqref="BO11"/>
    <dataValidation allowBlank="1" showInputMessage="1" showErrorMessage="1" promptTitle="PARADAS NÃO PROG." prompt="Somatória do tempo utilizado para as paradas não programadas da máquina/linha." sqref="BP11"/>
    <dataValidation allowBlank="1" showInputMessage="1" showErrorMessage="1" promptTitle="TEMPO SEM DEMANDA" prompt="Somatória do tempo em que a máquina/linha ficou parada devido estar sem demanda." sqref="BQ11"/>
    <dataValidation allowBlank="1" showInputMessage="1" showErrorMessage="1" promptTitle="TEMPO PRODUTIVO" prompt="Tempo total em que houve produção de peças, excluindo: tempo de setup, paradas programadas e não programadas." sqref="BR11"/>
    <dataValidation allowBlank="1" showInputMessage="1" showErrorMessage="1" promptTitle="UNIDADE DE MEDIDA" prompt="Unidada de medida de controle do item informado." sqref="BX11"/>
    <dataValidation allowBlank="1" showInputMessage="1" showErrorMessage="1" promptTitle="TIPO DE MOVIMENTAÇÃO" prompt="Informar o tipo de movimentação do material (selecionar as opções disponíveis)." sqref="BY11:BZ11"/>
    <dataValidation allowBlank="1" showInputMessage="1" showErrorMessage="1" promptTitle="SETOR DESTINO" prompt="Informar para qual setor o material foi transferido (selecionar as opções disponíveis)." sqref="CA11:CB11"/>
    <dataValidation allowBlank="1" showInputMessage="1" showErrorMessage="1" promptTitle="PARADA PROGRAMADA" prompt="Preencher o horário em que a máquina estiver parada em casos de intervalos para descanso, reunião diária e almoço/janta._x000a_" sqref="AU11:AV11 AL11:AM11 AO11:AP11 AR11:AS11"/>
    <dataValidation allowBlank="1" showInputMessage="1" showErrorMessage="1" promptTitle="PARADA NÃO PROGRAMADA" prompt="Preencher com os horários de paradas de máquina não previstos. Exemplos: queda de energia, quebras de máquina, falta de materiais, entre outros._x000a_" sqref="BB11:BC11 BF11:BG11 BJ11:BK11 AX11:AY11"/>
    <dataValidation allowBlank="1" showInputMessage="1" showErrorMessage="1" promptTitle="CÓDIGO DO COMPONENTE / KANBAN" prompt="Informar código do componente que deverá ser baixado ou transferido._x000a_                                     OU_x000a_Informar o Kanban Intermediário que será devolvido para o setor de origem (selecionar as opções disponíveis)." sqref="BU11:BV11"/>
    <dataValidation type="list" allowBlank="1" showInputMessage="1" showErrorMessage="1" sqref="AZ4 A12:A31">
      <formula1>IF($CJ$8&lt;&gt;2,Kanban,Kanban_Geral)</formula1>
    </dataValidation>
    <dataValidation type="list" allowBlank="1" showInputMessage="1" showErrorMessage="1" sqref="C12:C31">
      <formula1>Maquina</formula1>
    </dataValidation>
    <dataValidation allowBlank="1" showInputMessage="1" showErrorMessage="1" promptTitle="CATEGORIA" prompt="Escolha a categoria da parada não programada para liberar a lista de motivos relacionados." sqref="AZ11 BD11 BH11 BL11"/>
    <dataValidation type="list" allowBlank="1" showInputMessage="1" showErrorMessage="1" sqref="BB4">
      <formula1>"Turno A,Turno B,Turno C"</formula1>
    </dataValidation>
    <dataValidation type="list" allowBlank="1" showInputMessage="1" showErrorMessage="1" sqref="BU12:BU31">
      <formula1>IF($CJ$8&lt;&gt;2,Componentes,Componentes_Geral)</formula1>
    </dataValidation>
    <dataValidation type="list" operator="greaterThan" allowBlank="1" showInputMessage="1" showErrorMessage="1" errorTitle="VALOR INCORRETO!" error="Selecionar uma das opções disponíveis." sqref="BL12:BL31 AZ12:AZ31 BD12:BD31 BH12:BH31">
      <formula1>$CT$2:$CT$8</formula1>
    </dataValidation>
    <dataValidation allowBlank="1" showInputMessage="1" showErrorMessage="1" promptTitle="TEMPO DE RETRABALHO" prompt="Tempo total do retrabalho de peças." sqref="BS11"/>
    <dataValidation allowBlank="1" showInputMessage="1" showErrorMessage="1" promptTitle="TOTAL DEFEITOS" prompt="Somatória das peças que foram destinadas para RETRABALHO durante a produção do Kanban mencionado." sqref="P11"/>
    <dataValidation allowBlank="1" showInputMessage="1" showErrorMessage="1" promptTitle="DESCARTE" prompt="Preencher a quantidade de peças descartadas durante a produção do Kanban mencionado._x000a_" sqref="Q11:AA11"/>
    <dataValidation allowBlank="1" showInputMessage="1" showErrorMessage="1" promptTitle="TOTAL DESCARTE" prompt="Somatória das peças que foram descartadas durante a produção do Kanban mencionado." sqref="AB11"/>
    <dataValidation allowBlank="1" showInputMessage="1" showErrorMessage="1" promptTitle="SOMA (DEFEITOS + DESCARTE)" prompt="Somatória das peças que foram destinadas para retrabalho + as peças descartadas durante a produção do Kanban mencionado." sqref="AC11"/>
    <dataValidation allowBlank="1" showInputMessage="1" showErrorMessage="1" errorTitle="VALOR INCORRETO!" error="Preencher apenas números." sqref="BX12:BX31"/>
    <dataValidation allowBlank="1" showInputMessage="1" showErrorMessage="1" promptTitle="QUANTIDADE" prompt="Preencher com a quantidade do item que deverá ser baixado ou transferido." sqref="BW11"/>
    <dataValidation type="list" allowBlank="1" showInputMessage="1" showErrorMessage="1" sqref="CA28:CB31">
      <formula1>"ENGENHARIA,QUALIDADE,RETRABALHO,AMZ - MATERIA PRIMA,AMZ - PROD PROCESSO,AMZ - PROD ACABADO"</formula1>
    </dataValidation>
    <dataValidation errorStyle="warning" allowBlank="1" showInputMessage="1" showErrorMessage="1" sqref="CC21 CF21"/>
    <dataValidation allowBlank="1" showInputMessage="1" showErrorMessage="1" promptTitle="DEFEITOS (RETRABALHO)" prompt="Preencher com a quantidade de peças que foram destinadas para RETRABALHO durante a produção do Kanban mencionado._x000a_" sqref="F11:O11"/>
    <dataValidation type="list" allowBlank="1" showInputMessage="1" showErrorMessage="1" sqref="BA4 BM3:BN3 AW4:AX4">
      <formula1>Maquina_1</formula1>
    </dataValidation>
    <dataValidation type="time" operator="greaterThan" allowBlank="1" showInputMessage="1" showErrorMessage="1" errorTitle="VALOR INCORRETO!" error="Horário de término deve ser MAIOR que o horário de início. " sqref="AI12:AI31">
      <formula1>AH12</formula1>
    </dataValidation>
    <dataValidation type="custom" operator="greaterThanOrEqual" allowBlank="1" showInputMessage="1" showErrorMessage="1" errorTitle="VALOR INCORRETO!" error="O horário de setup ou paradas deve estar ENTRE o período de início e fim de produção." sqref="AL12:AL31 AO12:AO31 AR12:AR31 AU12:AU31 AX12:AX31 BB12:BB31 BF12:BF31 BJ12:BJ31 AJ12:AJ31">
      <formula1>AND(AJ12&gt;=$AH12,AJ12&lt;=$AI12)</formula1>
    </dataValidation>
    <dataValidation type="custom" operator="greaterThanOrEqual" allowBlank="1" showInputMessage="1" showErrorMessage="1" errorTitle="VALOR INCORRETO!" error="O horário de setup ou paradas deve estar ENTRE o período de início e fim de produção._x000a__x000a_E _x000a__x000a_Horário de término deve ser MAIOR que o horário de início. " sqref="AK12:AK31">
      <formula1>AND(AK12&gt;=$AH12,AK12&lt;=$AI12,AK12&gt;AJ12)</formula1>
    </dataValidation>
    <dataValidation type="custom" operator="greaterThanOrEqual" allowBlank="1" showInputMessage="1" showErrorMessage="1" errorTitle="VALOR INCORRETO!" error="O horário de setup ou paradas deve estar ENTRE o período de início e fim de produção._x000a__x000a_E_x000a__x000a_Horário de término deve ser MAIOR que o horário de início. " sqref="AP12:AP31 AS12:AS31 AV12:AV31 AY12:AY31 BC12:BC31 BG12:BG31 BK12:BK31 AM12:AM31">
      <formula1>AND(AM12&gt;=$AH12,AM12&lt;=$AI12,AM12&gt;AL12)</formula1>
    </dataValidation>
    <dataValidation type="list" showInputMessage="1" showErrorMessage="1" sqref="BA12:BA31 BI12:BI31 BM12:BM31 BE12:BE31">
      <formula1>IF(AZ12=$CT$2,QuedaDeEnergia,IF(AZ12=$CT$3,FaltaDeAgua,IF(AZ12=$CT$4,Ferramentaria,IF(AZ12=$CT$5,MaquinasEEquipamentos,IF(AZ12=$CT$6,Operacional,IF(AZ12=$CT$7,Funcional,IF(AZ12=$CT$8,Abastecimento)))))))</formula1>
    </dataValidation>
    <dataValidation type="custom" errorStyle="warning" allowBlank="1" showInputMessage="1" showErrorMessage="1" errorTitle="ATENÇÃO!!" error="Informar a quantidade em METROS._x000a_Para converter de KG para METROS, utilizar o fator de conversão (0,000)._x000a__x000a_Exemplo: 100 / 0,000 = XMETROS" sqref="BW12:BW31">
      <formula1>CG12&lt;&gt;"UN"</formula1>
    </dataValidation>
    <dataValidation type="list" allowBlank="1" showInputMessage="1" showErrorMessage="1" sqref="CA12:CB27">
      <formula1>"ENGENHARIA,QUALIDADE,RETRABALHO,PRODUCAO"</formula1>
    </dataValidation>
  </dataValidations>
  <hyperlinks>
    <hyperlink ref="D7:D9" location="'Try Out'!B3" tooltip="Clique para preencher as informações dos materiais utilizados em Try Out." display="'Try Out'!B3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CA9" unlockedFormula="1"/>
  </ignoredErrors>
  <drawing r:id="rId2"/>
  <legacyDrawing r:id="rId3"/>
  <controls>
    <mc:AlternateContent xmlns:mc="http://schemas.openxmlformats.org/markup-compatibility/2006">
      <mc:Choice Requires="x14">
        <control shapeId="1040" r:id="rId4" name="ComboBox1">
          <controlPr defaultSize="0" autoLine="0" linkedCell="A7" listFillRange="CW12:CW25" r:id="rId5">
            <anchor moveWithCells="1">
              <from>
                <xdr:col>0</xdr:col>
                <xdr:colOff>57150</xdr:colOff>
                <xdr:row>6</xdr:row>
                <xdr:rowOff>9525</xdr:rowOff>
              </from>
              <to>
                <xdr:col>2</xdr:col>
                <xdr:colOff>571500</xdr:colOff>
                <xdr:row>7</xdr:row>
                <xdr:rowOff>171450</xdr:rowOff>
              </to>
            </anchor>
          </controlPr>
        </control>
      </mc:Choice>
      <mc:Fallback>
        <control shapeId="1040" r:id="rId4" name="ComboBox1"/>
      </mc:Fallback>
    </mc:AlternateContent>
    <mc:AlternateContent xmlns:mc="http://schemas.openxmlformats.org/markup-compatibility/2006">
      <mc:Choice Requires="x14">
        <control shapeId="1028" r:id="rId6" name="Group Box 4">
          <controlPr defaultSize="0" autoFill="0" autoPict="0">
            <anchor moveWithCells="1">
              <from>
                <xdr:col>71</xdr:col>
                <xdr:colOff>19050</xdr:colOff>
                <xdr:row>4</xdr:row>
                <xdr:rowOff>228600</xdr:rowOff>
              </from>
              <to>
                <xdr:col>71</xdr:col>
                <xdr:colOff>2486025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" name="Option Button 12">
          <controlPr defaultSize="0" autoFill="0" autoLine="0" autoPict="0">
            <anchor moveWithCells="1">
              <from>
                <xdr:col>71</xdr:col>
                <xdr:colOff>76200</xdr:colOff>
                <xdr:row>5</xdr:row>
                <xdr:rowOff>152400</xdr:rowOff>
              </from>
              <to>
                <xdr:col>71</xdr:col>
                <xdr:colOff>838200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8" name="Option Button 13">
          <controlPr defaultSize="0" autoFill="0" autoLine="0" autoPict="0">
            <anchor moveWithCells="1">
              <from>
                <xdr:col>71</xdr:col>
                <xdr:colOff>885825</xdr:colOff>
                <xdr:row>5</xdr:row>
                <xdr:rowOff>152400</xdr:rowOff>
              </from>
              <to>
                <xdr:col>71</xdr:col>
                <xdr:colOff>1647825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9" name="Option Button 14">
          <controlPr defaultSize="0" autoFill="0" autoLine="0" autoPict="0">
            <anchor moveWithCells="1">
              <from>
                <xdr:col>71</xdr:col>
                <xdr:colOff>1695450</xdr:colOff>
                <xdr:row>5</xdr:row>
                <xdr:rowOff>152400</xdr:rowOff>
              </from>
              <to>
                <xdr:col>71</xdr:col>
                <xdr:colOff>2457450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10" name="Check Box 30">
          <controlPr defaultSize="0" autoFill="0" autoLine="0" autoPict="0" altText="PREENCHER HORAS EXTRAS NOS CAMPOS DESTACADOS EM AMARELO">
            <anchor moveWithCells="1">
              <from>
                <xdr:col>71</xdr:col>
                <xdr:colOff>28575</xdr:colOff>
                <xdr:row>7</xdr:row>
                <xdr:rowOff>76200</xdr:rowOff>
              </from>
              <to>
                <xdr:col>71</xdr:col>
                <xdr:colOff>2476500</xdr:colOff>
                <xdr:row>8</xdr:row>
                <xdr:rowOff>180975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47" id="{5B981C89-DC3F-48F0-9235-32DB625EB22D}">
            <xm:f>AND($D$7&lt;&gt;"",'Try Out'!$B$3="")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729" yWindow="469" count="4">
        <x14:dataValidation type="list" allowBlank="1" showInputMessage="1" showErrorMessage="1">
          <x14:formula1>
            <xm:f>Cadastro!$BE$2:$BE$4</xm:f>
          </x14:formula1>
          <xm:sqref>E12:E31</xm:sqref>
        </x14:dataValidation>
        <x14:dataValidation type="list" allowBlank="1" showInputMessage="1" showErrorMessage="1">
          <x14:formula1>
            <xm:f>Cadastro!$BC$2:$BC$3</xm:f>
          </x14:formula1>
          <xm:sqref>B12:B31</xm:sqref>
        </x14:dataValidation>
        <x14:dataValidation type="list" allowBlank="1" showInputMessage="1" showErrorMessage="1">
          <x14:formula1>
            <xm:f>Cadastro!$BA$2:$BA$4</xm:f>
          </x14:formula1>
          <xm:sqref>AG12:AG31</xm:sqref>
        </x14:dataValidation>
        <x14:dataValidation type="list" allowBlank="1" showInputMessage="1" showErrorMessage="1" errorTitle="VALOR INCORRETO!" error="Selecionar uma das opções disponíveis.">
          <x14:formula1>
            <xm:f>Cadastro!$AC$3:$AC$5</xm:f>
          </x14:formula1>
          <xm:sqref>AN12:AN31 AQ12:AQ31 AT12:AT31 AW12:AW31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B1:J32"/>
  <sheetViews>
    <sheetView showGridLines="0" zoomScale="90" zoomScaleNormal="90" workbookViewId="0">
      <pane ySplit="2" topLeftCell="A3" activePane="bottomLeft" state="frozen"/>
      <selection pane="bottomLeft" activeCell="E18" sqref="E18"/>
    </sheetView>
  </sheetViews>
  <sheetFormatPr defaultRowHeight="15"/>
  <cols>
    <col min="1" max="1" width="4.28515625" customWidth="1"/>
    <col min="2" max="2" width="17" customWidth="1"/>
    <col min="3" max="3" width="12.7109375" bestFit="1" customWidth="1"/>
    <col min="4" max="4" width="16.5703125" customWidth="1"/>
    <col min="5" max="9" width="13" customWidth="1"/>
    <col min="10" max="10" width="53.42578125" customWidth="1"/>
  </cols>
  <sheetData>
    <row r="1" spans="2:10" ht="39" customHeight="1">
      <c r="B1" s="275" t="s">
        <v>1076</v>
      </c>
      <c r="C1" s="275"/>
      <c r="E1" s="263"/>
      <c r="F1" s="263"/>
      <c r="G1" s="263"/>
      <c r="H1" s="263"/>
      <c r="I1" s="263"/>
    </row>
    <row r="2" spans="2:10" s="2" customFormat="1" ht="26.25" thickBot="1">
      <c r="B2" s="276" t="s">
        <v>1148</v>
      </c>
      <c r="C2" s="276" t="s">
        <v>0</v>
      </c>
      <c r="D2" s="276" t="s">
        <v>728</v>
      </c>
      <c r="E2" s="276" t="s">
        <v>1074</v>
      </c>
      <c r="F2" s="276" t="s">
        <v>1146</v>
      </c>
      <c r="G2" s="276" t="s">
        <v>1074</v>
      </c>
      <c r="H2" s="276" t="s">
        <v>1147</v>
      </c>
      <c r="I2" s="276" t="s">
        <v>9</v>
      </c>
      <c r="J2" s="276" t="s">
        <v>1145</v>
      </c>
    </row>
    <row r="3" spans="2:10">
      <c r="B3" s="312"/>
      <c r="C3" s="312"/>
      <c r="D3" s="313"/>
      <c r="E3" s="311"/>
      <c r="F3" s="311"/>
      <c r="G3" s="311"/>
      <c r="H3" s="311"/>
      <c r="I3" s="311" t="str">
        <f>IF(AND(B3="",C3=""),"",IF(AND(B3&lt;&gt;"",C3=""),"0",IF(AND(C3&lt;&gt;"",B3=""),D3-F3,"")))</f>
        <v/>
      </c>
      <c r="J3" s="331"/>
    </row>
    <row r="4" spans="2:10">
      <c r="B4" s="314"/>
      <c r="C4" s="314"/>
      <c r="D4" s="315"/>
      <c r="E4" s="291"/>
      <c r="F4" s="291"/>
      <c r="G4" s="291"/>
      <c r="H4" s="291"/>
      <c r="I4" s="291"/>
      <c r="J4" s="314"/>
    </row>
    <row r="5" spans="2:10">
      <c r="B5" s="316"/>
      <c r="C5" s="316"/>
      <c r="D5" s="317"/>
      <c r="E5" s="318"/>
      <c r="F5" s="318"/>
      <c r="G5" s="318"/>
      <c r="H5" s="318"/>
      <c r="I5" s="318"/>
      <c r="J5" s="316"/>
    </row>
    <row r="6" spans="2:10">
      <c r="B6" s="314"/>
      <c r="C6" s="314"/>
      <c r="D6" s="315"/>
      <c r="E6" s="291"/>
      <c r="F6" s="291"/>
      <c r="G6" s="291"/>
      <c r="H6" s="291"/>
      <c r="I6" s="291"/>
      <c r="J6" s="314"/>
    </row>
    <row r="7" spans="2:10">
      <c r="B7" s="316"/>
      <c r="C7" s="316"/>
      <c r="D7" s="317"/>
      <c r="E7" s="318"/>
      <c r="F7" s="318"/>
      <c r="G7" s="318"/>
      <c r="H7" s="318"/>
      <c r="I7" s="318"/>
      <c r="J7" s="316"/>
    </row>
    <row r="8" spans="2:10">
      <c r="B8" s="314"/>
      <c r="C8" s="314"/>
      <c r="D8" s="315"/>
      <c r="E8" s="291"/>
      <c r="F8" s="291"/>
      <c r="G8" s="291"/>
      <c r="H8" s="291"/>
      <c r="I8" s="291"/>
      <c r="J8" s="314"/>
    </row>
    <row r="9" spans="2:10">
      <c r="B9" s="316"/>
      <c r="C9" s="316"/>
      <c r="D9" s="317"/>
      <c r="E9" s="318"/>
      <c r="F9" s="318"/>
      <c r="G9" s="318"/>
      <c r="H9" s="318"/>
      <c r="I9" s="318"/>
      <c r="J9" s="316"/>
    </row>
    <row r="10" spans="2:10">
      <c r="B10" s="314"/>
      <c r="C10" s="314"/>
      <c r="D10" s="315"/>
      <c r="E10" s="291"/>
      <c r="F10" s="291"/>
      <c r="G10" s="291"/>
      <c r="H10" s="291"/>
      <c r="I10" s="291"/>
      <c r="J10" s="314"/>
    </row>
    <row r="11" spans="2:10">
      <c r="B11" s="316"/>
      <c r="C11" s="316"/>
      <c r="D11" s="317"/>
      <c r="E11" s="318"/>
      <c r="F11" s="318"/>
      <c r="G11" s="318"/>
      <c r="H11" s="318"/>
      <c r="I11" s="318"/>
      <c r="J11" s="316"/>
    </row>
    <row r="12" spans="2:10">
      <c r="B12" s="314"/>
      <c r="C12" s="314"/>
      <c r="D12" s="315"/>
      <c r="E12" s="291"/>
      <c r="F12" s="291"/>
      <c r="G12" s="291"/>
      <c r="H12" s="291"/>
      <c r="I12" s="291"/>
      <c r="J12" s="314"/>
    </row>
    <row r="13" spans="2:10">
      <c r="B13" s="316"/>
      <c r="C13" s="316"/>
      <c r="D13" s="317"/>
      <c r="E13" s="318"/>
      <c r="F13" s="318"/>
      <c r="G13" s="318"/>
      <c r="H13" s="318"/>
      <c r="I13" s="318"/>
      <c r="J13" s="316"/>
    </row>
    <row r="14" spans="2:10">
      <c r="B14" s="314"/>
      <c r="C14" s="314"/>
      <c r="D14" s="315"/>
      <c r="E14" s="291"/>
      <c r="F14" s="291"/>
      <c r="G14" s="291"/>
      <c r="H14" s="291"/>
      <c r="I14" s="291"/>
      <c r="J14" s="314"/>
    </row>
    <row r="15" spans="2:10">
      <c r="B15" s="316"/>
      <c r="C15" s="316"/>
      <c r="D15" s="317"/>
      <c r="E15" s="318"/>
      <c r="F15" s="318"/>
      <c r="G15" s="318"/>
      <c r="H15" s="318"/>
      <c r="I15" s="318"/>
      <c r="J15" s="316"/>
    </row>
    <row r="16" spans="2:10">
      <c r="B16" s="314"/>
      <c r="C16" s="314"/>
      <c r="D16" s="315"/>
      <c r="E16" s="291"/>
      <c r="F16" s="291"/>
      <c r="G16" s="291"/>
      <c r="H16" s="291"/>
      <c r="I16" s="291"/>
      <c r="J16" s="314"/>
    </row>
    <row r="17" spans="2:10">
      <c r="B17" s="316"/>
      <c r="C17" s="316"/>
      <c r="D17" s="317"/>
      <c r="E17" s="318"/>
      <c r="F17" s="318"/>
      <c r="G17" s="318"/>
      <c r="H17" s="318"/>
      <c r="I17" s="318"/>
      <c r="J17" s="316"/>
    </row>
    <row r="18" spans="2:10">
      <c r="B18" s="314"/>
      <c r="C18" s="314"/>
      <c r="D18" s="315"/>
      <c r="E18" s="291"/>
      <c r="F18" s="291"/>
      <c r="G18" s="291"/>
      <c r="H18" s="291"/>
      <c r="I18" s="291"/>
      <c r="J18" s="314"/>
    </row>
    <row r="19" spans="2:10">
      <c r="B19" s="316"/>
      <c r="C19" s="316"/>
      <c r="D19" s="317"/>
      <c r="E19" s="318"/>
      <c r="F19" s="318"/>
      <c r="G19" s="318"/>
      <c r="H19" s="318"/>
      <c r="I19" s="318"/>
      <c r="J19" s="316"/>
    </row>
    <row r="20" spans="2:10">
      <c r="B20" s="314"/>
      <c r="C20" s="314"/>
      <c r="D20" s="315"/>
      <c r="E20" s="291"/>
      <c r="F20" s="291"/>
      <c r="G20" s="291"/>
      <c r="H20" s="291"/>
      <c r="I20" s="291"/>
      <c r="J20" s="314"/>
    </row>
    <row r="21" spans="2:10">
      <c r="B21" s="316"/>
      <c r="C21" s="316"/>
      <c r="D21" s="317"/>
      <c r="E21" s="318"/>
      <c r="F21" s="318"/>
      <c r="G21" s="318"/>
      <c r="H21" s="318"/>
      <c r="I21" s="318"/>
      <c r="J21" s="316"/>
    </row>
    <row r="22" spans="2:10">
      <c r="B22" s="314"/>
      <c r="C22" s="314"/>
      <c r="D22" s="315"/>
      <c r="E22" s="291"/>
      <c r="F22" s="291"/>
      <c r="G22" s="291"/>
      <c r="H22" s="291"/>
      <c r="I22" s="291"/>
      <c r="J22" s="314"/>
    </row>
    <row r="23" spans="2:10">
      <c r="B23" s="316"/>
      <c r="C23" s="316"/>
      <c r="D23" s="317"/>
      <c r="E23" s="318"/>
      <c r="F23" s="318"/>
      <c r="G23" s="318"/>
      <c r="H23" s="318"/>
      <c r="I23" s="318"/>
      <c r="J23" s="316"/>
    </row>
    <row r="24" spans="2:10">
      <c r="B24" s="314"/>
      <c r="C24" s="314"/>
      <c r="D24" s="315"/>
      <c r="E24" s="291"/>
      <c r="F24" s="291"/>
      <c r="G24" s="291"/>
      <c r="H24" s="291"/>
      <c r="I24" s="291"/>
      <c r="J24" s="314"/>
    </row>
    <row r="25" spans="2:10">
      <c r="B25" s="316"/>
      <c r="C25" s="316"/>
      <c r="D25" s="317"/>
      <c r="E25" s="318"/>
      <c r="F25" s="318"/>
      <c r="G25" s="318"/>
      <c r="H25" s="318"/>
      <c r="I25" s="318"/>
      <c r="J25" s="316"/>
    </row>
    <row r="26" spans="2:10">
      <c r="B26" s="314"/>
      <c r="C26" s="314"/>
      <c r="D26" s="315"/>
      <c r="E26" s="291"/>
      <c r="F26" s="291"/>
      <c r="G26" s="291"/>
      <c r="H26" s="291"/>
      <c r="I26" s="291"/>
      <c r="J26" s="314"/>
    </row>
    <row r="27" spans="2:10">
      <c r="B27" s="316"/>
      <c r="C27" s="316"/>
      <c r="D27" s="317"/>
      <c r="E27" s="318"/>
      <c r="F27" s="318"/>
      <c r="G27" s="318"/>
      <c r="H27" s="318"/>
      <c r="I27" s="318"/>
      <c r="J27" s="316"/>
    </row>
    <row r="28" spans="2:10">
      <c r="B28" s="314"/>
      <c r="C28" s="314"/>
      <c r="D28" s="315"/>
      <c r="E28" s="291"/>
      <c r="F28" s="291"/>
      <c r="G28" s="291"/>
      <c r="H28" s="291"/>
      <c r="I28" s="291"/>
      <c r="J28" s="314"/>
    </row>
    <row r="29" spans="2:10">
      <c r="B29" s="316"/>
      <c r="C29" s="316"/>
      <c r="D29" s="317"/>
      <c r="E29" s="318"/>
      <c r="F29" s="318"/>
      <c r="G29" s="318"/>
      <c r="H29" s="318"/>
      <c r="I29" s="318"/>
      <c r="J29" s="316"/>
    </row>
    <row r="30" spans="2:10">
      <c r="B30" s="314"/>
      <c r="C30" s="314"/>
      <c r="D30" s="315"/>
      <c r="E30" s="291"/>
      <c r="F30" s="291"/>
      <c r="G30" s="291"/>
      <c r="H30" s="291"/>
      <c r="I30" s="291"/>
      <c r="J30" s="314"/>
    </row>
    <row r="31" spans="2:10">
      <c r="B31" s="316"/>
      <c r="C31" s="316"/>
      <c r="D31" s="317"/>
      <c r="E31" s="318"/>
      <c r="F31" s="318"/>
      <c r="G31" s="318"/>
      <c r="H31" s="318"/>
      <c r="I31" s="318"/>
      <c r="J31" s="316"/>
    </row>
    <row r="32" spans="2:10">
      <c r="B32" s="314"/>
      <c r="C32" s="314"/>
      <c r="D32" s="315"/>
      <c r="E32" s="291"/>
      <c r="F32" s="291"/>
      <c r="G32" s="291"/>
      <c r="H32" s="291"/>
      <c r="I32" s="291"/>
      <c r="J32" s="314"/>
    </row>
  </sheetData>
  <sheetProtection autoFilter="0"/>
  <autoFilter ref="B2:J2"/>
  <conditionalFormatting sqref="C3">
    <cfRule type="expression" dxfId="14" priority="1">
      <formula>AND($B3&lt;&gt;"",$C3&lt;&gt;"")</formula>
    </cfRule>
  </conditionalFormatting>
  <dataValidations count="4">
    <dataValidation type="list" allowBlank="1" showInputMessage="1" showErrorMessage="1" sqref="E4:E32">
      <formula1>"PEÇAS,KG,METROS,UN,L,KIT,RL"</formula1>
    </dataValidation>
    <dataValidation type="custom" allowBlank="1" showInputMessage="1" showErrorMessage="1" errorTitle="CÓDIGO DO MATERIAL JÁ INFORMADO" error="Código do material já informado._x000a_Para informar a produção de peças, utilizar uma nova linha." sqref="C3:C32">
      <formula1>B3=""</formula1>
    </dataValidation>
    <dataValidation type="custom" allowBlank="1" showInputMessage="1" showErrorMessage="1" errorTitle="KANBAN JÁ INFORMADO" error="Kanban já informado._x000a_Para informar o código do material consumido, utilizar uma nova linha." sqref="B3:B32">
      <formula1>C3=""</formula1>
    </dataValidation>
    <dataValidation type="list" allowBlank="1" showInputMessage="1" showErrorMessage="1" sqref="E3">
      <formula1>"PC,KG,MT,UN,L,KIT,RL"</formula1>
    </dataValidation>
  </dataValidation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E482"/>
  <sheetViews>
    <sheetView showGridLines="0" zoomScale="90" zoomScaleNormal="90" workbookViewId="0">
      <pane ySplit="2" topLeftCell="A3" activePane="bottomLeft" state="frozen"/>
      <selection pane="bottomLeft" activeCell="F3" sqref="F3"/>
    </sheetView>
  </sheetViews>
  <sheetFormatPr defaultRowHeight="15"/>
  <cols>
    <col min="1" max="1" width="5.28515625" style="309" customWidth="1"/>
    <col min="2" max="2" width="14.7109375" style="309" bestFit="1" customWidth="1"/>
    <col min="3" max="3" width="11.85546875" style="309" customWidth="1"/>
    <col min="4" max="4" width="8.7109375" style="309" customWidth="1"/>
    <col min="5" max="5" width="8.7109375" style="310" customWidth="1"/>
    <col min="6" max="6" width="11.85546875" style="309" customWidth="1"/>
    <col min="7" max="16384" width="9.140625" style="309"/>
  </cols>
  <sheetData>
    <row r="1" spans="2:5" ht="39" customHeight="1">
      <c r="B1" s="319" t="s">
        <v>1143</v>
      </c>
    </row>
    <row r="2" spans="2:5" ht="15.75" thickBot="1">
      <c r="B2" s="276" t="s">
        <v>1126</v>
      </c>
      <c r="C2" s="276" t="s">
        <v>0</v>
      </c>
      <c r="D2" s="276" t="s">
        <v>1069</v>
      </c>
      <c r="E2" s="276" t="s">
        <v>1127</v>
      </c>
    </row>
    <row r="3" spans="2:5">
      <c r="B3" s="316" t="s">
        <v>60</v>
      </c>
      <c r="C3" s="317" t="s">
        <v>792</v>
      </c>
      <c r="D3" s="318" t="s">
        <v>1060</v>
      </c>
      <c r="E3" s="316">
        <v>160</v>
      </c>
    </row>
    <row r="4" spans="2:5">
      <c r="B4" s="314" t="s">
        <v>60</v>
      </c>
      <c r="C4" s="315" t="s">
        <v>793</v>
      </c>
      <c r="D4" s="291" t="s">
        <v>1060</v>
      </c>
      <c r="E4" s="314">
        <v>160</v>
      </c>
    </row>
    <row r="5" spans="2:5">
      <c r="B5" s="316" t="s">
        <v>60</v>
      </c>
      <c r="C5" s="317" t="s">
        <v>794</v>
      </c>
      <c r="D5" s="318" t="s">
        <v>1060</v>
      </c>
      <c r="E5" s="316">
        <v>95</v>
      </c>
    </row>
    <row r="6" spans="2:5">
      <c r="B6" s="314" t="s">
        <v>60</v>
      </c>
      <c r="C6" s="315" t="s">
        <v>795</v>
      </c>
      <c r="D6" s="291" t="s">
        <v>1060</v>
      </c>
      <c r="E6" s="314">
        <v>95</v>
      </c>
    </row>
    <row r="7" spans="2:5">
      <c r="B7" s="316" t="s">
        <v>60</v>
      </c>
      <c r="C7" s="317" t="s">
        <v>796</v>
      </c>
      <c r="D7" s="318" t="s">
        <v>1060</v>
      </c>
      <c r="E7" s="316">
        <v>160</v>
      </c>
    </row>
    <row r="8" spans="2:5">
      <c r="B8" s="314" t="s">
        <v>60</v>
      </c>
      <c r="C8" s="315" t="s">
        <v>797</v>
      </c>
      <c r="D8" s="291" t="s">
        <v>1060</v>
      </c>
      <c r="E8" s="314">
        <v>160</v>
      </c>
    </row>
    <row r="9" spans="2:5">
      <c r="B9" s="316" t="s">
        <v>197</v>
      </c>
      <c r="C9" s="317" t="s">
        <v>968</v>
      </c>
      <c r="D9" s="318" t="s">
        <v>1060</v>
      </c>
      <c r="E9" s="316">
        <v>30</v>
      </c>
    </row>
    <row r="10" spans="2:5">
      <c r="B10" s="314" t="s">
        <v>197</v>
      </c>
      <c r="C10" s="315" t="s">
        <v>969</v>
      </c>
      <c r="D10" s="291" t="s">
        <v>1060</v>
      </c>
      <c r="E10" s="314">
        <v>30</v>
      </c>
    </row>
    <row r="11" spans="2:5">
      <c r="B11" s="316" t="s">
        <v>197</v>
      </c>
      <c r="C11" s="317" t="s">
        <v>970</v>
      </c>
      <c r="D11" s="318" t="s">
        <v>1060</v>
      </c>
      <c r="E11" s="316">
        <v>30</v>
      </c>
    </row>
    <row r="12" spans="2:5">
      <c r="B12" s="314" t="s">
        <v>197</v>
      </c>
      <c r="C12" s="315" t="s">
        <v>971</v>
      </c>
      <c r="D12" s="291" t="s">
        <v>1060</v>
      </c>
      <c r="E12" s="314">
        <v>30</v>
      </c>
    </row>
    <row r="13" spans="2:5">
      <c r="B13" s="316" t="s">
        <v>197</v>
      </c>
      <c r="C13" s="317" t="s">
        <v>972</v>
      </c>
      <c r="D13" s="318" t="s">
        <v>1060</v>
      </c>
      <c r="E13" s="316">
        <v>30</v>
      </c>
    </row>
    <row r="14" spans="2:5">
      <c r="B14" s="314" t="s">
        <v>197</v>
      </c>
      <c r="C14" s="315" t="s">
        <v>973</v>
      </c>
      <c r="D14" s="291" t="s">
        <v>1060</v>
      </c>
      <c r="E14" s="314">
        <v>30</v>
      </c>
    </row>
    <row r="15" spans="2:5">
      <c r="B15" s="316" t="s">
        <v>60</v>
      </c>
      <c r="C15" s="317" t="s">
        <v>38</v>
      </c>
      <c r="D15" s="318" t="s">
        <v>1060</v>
      </c>
      <c r="E15" s="316">
        <v>95</v>
      </c>
    </row>
    <row r="16" spans="2:5">
      <c r="B16" s="314" t="s">
        <v>60</v>
      </c>
      <c r="C16" s="315" t="s">
        <v>40</v>
      </c>
      <c r="D16" s="291" t="s">
        <v>1060</v>
      </c>
      <c r="E16" s="314">
        <v>95</v>
      </c>
    </row>
    <row r="17" spans="2:5">
      <c r="B17" s="316" t="s">
        <v>60</v>
      </c>
      <c r="C17" s="317" t="s">
        <v>786</v>
      </c>
      <c r="D17" s="318" t="s">
        <v>1060</v>
      </c>
      <c r="E17" s="316">
        <v>95</v>
      </c>
    </row>
    <row r="18" spans="2:5">
      <c r="B18" s="314" t="s">
        <v>60</v>
      </c>
      <c r="C18" s="315" t="s">
        <v>787</v>
      </c>
      <c r="D18" s="291" t="s">
        <v>1060</v>
      </c>
      <c r="E18" s="314">
        <v>95</v>
      </c>
    </row>
    <row r="19" spans="2:5">
      <c r="B19" s="316" t="s">
        <v>60</v>
      </c>
      <c r="C19" s="317" t="s">
        <v>788</v>
      </c>
      <c r="D19" s="318" t="s">
        <v>1060</v>
      </c>
      <c r="E19" s="316">
        <v>95</v>
      </c>
    </row>
    <row r="20" spans="2:5">
      <c r="B20" s="314" t="s">
        <v>60</v>
      </c>
      <c r="C20" s="315" t="s">
        <v>789</v>
      </c>
      <c r="D20" s="291" t="s">
        <v>1060</v>
      </c>
      <c r="E20" s="314">
        <v>95</v>
      </c>
    </row>
    <row r="21" spans="2:5">
      <c r="B21" s="316" t="s">
        <v>60</v>
      </c>
      <c r="C21" s="317" t="s">
        <v>790</v>
      </c>
      <c r="D21" s="318" t="s">
        <v>1060</v>
      </c>
      <c r="E21" s="316">
        <v>160</v>
      </c>
    </row>
    <row r="22" spans="2:5">
      <c r="B22" s="314" t="s">
        <v>60</v>
      </c>
      <c r="C22" s="315" t="s">
        <v>791</v>
      </c>
      <c r="D22" s="291" t="s">
        <v>1060</v>
      </c>
      <c r="E22" s="314">
        <v>160</v>
      </c>
    </row>
    <row r="23" spans="2:5">
      <c r="B23" s="316" t="s">
        <v>60</v>
      </c>
      <c r="C23" s="317" t="s">
        <v>39</v>
      </c>
      <c r="D23" s="318" t="s">
        <v>1060</v>
      </c>
      <c r="E23" s="316">
        <v>95</v>
      </c>
    </row>
    <row r="24" spans="2:5">
      <c r="B24" s="314" t="s">
        <v>60</v>
      </c>
      <c r="C24" s="315" t="s">
        <v>41</v>
      </c>
      <c r="D24" s="291" t="s">
        <v>1060</v>
      </c>
      <c r="E24" s="314">
        <v>95</v>
      </c>
    </row>
    <row r="25" spans="2:5">
      <c r="B25" s="316" t="s">
        <v>197</v>
      </c>
      <c r="C25" s="317" t="s">
        <v>974</v>
      </c>
      <c r="D25" s="318" t="s">
        <v>1060</v>
      </c>
      <c r="E25" s="316">
        <v>20</v>
      </c>
    </row>
    <row r="26" spans="2:5">
      <c r="B26" s="314" t="s">
        <v>197</v>
      </c>
      <c r="C26" s="315" t="s">
        <v>975</v>
      </c>
      <c r="D26" s="291" t="s">
        <v>1060</v>
      </c>
      <c r="E26" s="314">
        <v>20</v>
      </c>
    </row>
    <row r="27" spans="2:5">
      <c r="B27" s="316" t="s">
        <v>197</v>
      </c>
      <c r="C27" s="317" t="s">
        <v>976</v>
      </c>
      <c r="D27" s="318" t="s">
        <v>1060</v>
      </c>
      <c r="E27" s="316">
        <v>20</v>
      </c>
    </row>
    <row r="28" spans="2:5">
      <c r="B28" s="314" t="s">
        <v>197</v>
      </c>
      <c r="C28" s="315" t="s">
        <v>977</v>
      </c>
      <c r="D28" s="291" t="s">
        <v>1060</v>
      </c>
      <c r="E28" s="314">
        <v>20</v>
      </c>
    </row>
    <row r="29" spans="2:5">
      <c r="B29" s="316" t="s">
        <v>197</v>
      </c>
      <c r="C29" s="317" t="s">
        <v>978</v>
      </c>
      <c r="D29" s="318" t="s">
        <v>1060</v>
      </c>
      <c r="E29" s="316">
        <v>20</v>
      </c>
    </row>
    <row r="30" spans="2:5">
      <c r="B30" s="314" t="s">
        <v>197</v>
      </c>
      <c r="C30" s="315" t="s">
        <v>979</v>
      </c>
      <c r="D30" s="291" t="s">
        <v>1060</v>
      </c>
      <c r="E30" s="314">
        <v>20</v>
      </c>
    </row>
    <row r="31" spans="2:5">
      <c r="B31" s="316" t="s">
        <v>161</v>
      </c>
      <c r="C31" s="317" t="s">
        <v>148</v>
      </c>
      <c r="D31" s="318" t="s">
        <v>6</v>
      </c>
      <c r="E31" s="316">
        <v>18</v>
      </c>
    </row>
    <row r="32" spans="2:5">
      <c r="B32" s="314" t="s">
        <v>161</v>
      </c>
      <c r="C32" s="315" t="s">
        <v>149</v>
      </c>
      <c r="D32" s="291" t="s">
        <v>6</v>
      </c>
      <c r="E32" s="314">
        <v>18</v>
      </c>
    </row>
    <row r="33" spans="2:5">
      <c r="B33" s="316" t="s">
        <v>161</v>
      </c>
      <c r="C33" s="317" t="s">
        <v>150</v>
      </c>
      <c r="D33" s="318" t="s">
        <v>6</v>
      </c>
      <c r="E33" s="316">
        <v>18</v>
      </c>
    </row>
    <row r="34" spans="2:5">
      <c r="B34" s="314" t="s">
        <v>161</v>
      </c>
      <c r="C34" s="315" t="s">
        <v>151</v>
      </c>
      <c r="D34" s="291" t="s">
        <v>6</v>
      </c>
      <c r="E34" s="314">
        <v>18</v>
      </c>
    </row>
    <row r="35" spans="2:5">
      <c r="B35" s="316" t="s">
        <v>161</v>
      </c>
      <c r="C35" s="317" t="s">
        <v>152</v>
      </c>
      <c r="D35" s="318" t="s">
        <v>6</v>
      </c>
      <c r="E35" s="316">
        <v>18</v>
      </c>
    </row>
    <row r="36" spans="2:5">
      <c r="B36" s="314" t="s">
        <v>163</v>
      </c>
      <c r="C36" s="315" t="s">
        <v>164</v>
      </c>
      <c r="D36" s="291" t="s">
        <v>1060</v>
      </c>
      <c r="E36" s="314">
        <v>70</v>
      </c>
    </row>
    <row r="37" spans="2:5">
      <c r="B37" s="316" t="s">
        <v>163</v>
      </c>
      <c r="C37" s="317" t="s">
        <v>165</v>
      </c>
      <c r="D37" s="318" t="s">
        <v>1060</v>
      </c>
      <c r="E37" s="316">
        <v>70</v>
      </c>
    </row>
    <row r="38" spans="2:5">
      <c r="B38" s="314" t="s">
        <v>163</v>
      </c>
      <c r="C38" s="315" t="s">
        <v>166</v>
      </c>
      <c r="D38" s="291" t="s">
        <v>1060</v>
      </c>
      <c r="E38" s="314">
        <v>70</v>
      </c>
    </row>
    <row r="39" spans="2:5">
      <c r="B39" s="316" t="s">
        <v>163</v>
      </c>
      <c r="C39" s="317" t="s">
        <v>167</v>
      </c>
      <c r="D39" s="318" t="s">
        <v>1060</v>
      </c>
      <c r="E39" s="316">
        <v>70</v>
      </c>
    </row>
    <row r="40" spans="2:5">
      <c r="B40" s="314" t="s">
        <v>163</v>
      </c>
      <c r="C40" s="315" t="s">
        <v>168</v>
      </c>
      <c r="D40" s="291" t="s">
        <v>1060</v>
      </c>
      <c r="E40" s="314">
        <v>65</v>
      </c>
    </row>
    <row r="41" spans="2:5">
      <c r="B41" s="316" t="s">
        <v>163</v>
      </c>
      <c r="C41" s="317" t="s">
        <v>169</v>
      </c>
      <c r="D41" s="318" t="s">
        <v>1060</v>
      </c>
      <c r="E41" s="316">
        <v>65</v>
      </c>
    </row>
    <row r="42" spans="2:5">
      <c r="B42" s="314" t="s">
        <v>163</v>
      </c>
      <c r="C42" s="315" t="s">
        <v>170</v>
      </c>
      <c r="D42" s="291" t="s">
        <v>1060</v>
      </c>
      <c r="E42" s="314">
        <v>65</v>
      </c>
    </row>
    <row r="43" spans="2:5">
      <c r="B43" s="316" t="s">
        <v>163</v>
      </c>
      <c r="C43" s="317" t="s">
        <v>171</v>
      </c>
      <c r="D43" s="318" t="s">
        <v>1060</v>
      </c>
      <c r="E43" s="316">
        <v>65</v>
      </c>
    </row>
    <row r="44" spans="2:5">
      <c r="B44" s="314" t="s">
        <v>163</v>
      </c>
      <c r="C44" s="315" t="s">
        <v>172</v>
      </c>
      <c r="D44" s="291" t="s">
        <v>1060</v>
      </c>
      <c r="E44" s="314">
        <v>56</v>
      </c>
    </row>
    <row r="45" spans="2:5">
      <c r="B45" s="316" t="s">
        <v>163</v>
      </c>
      <c r="C45" s="317" t="s">
        <v>173</v>
      </c>
      <c r="D45" s="318" t="s">
        <v>1060</v>
      </c>
      <c r="E45" s="316">
        <v>56</v>
      </c>
    </row>
    <row r="46" spans="2:5">
      <c r="B46" s="314" t="s">
        <v>163</v>
      </c>
      <c r="C46" s="315" t="s">
        <v>174</v>
      </c>
      <c r="D46" s="291" t="s">
        <v>1060</v>
      </c>
      <c r="E46" s="314">
        <v>65</v>
      </c>
    </row>
    <row r="47" spans="2:5">
      <c r="B47" s="316" t="s">
        <v>163</v>
      </c>
      <c r="C47" s="317" t="s">
        <v>175</v>
      </c>
      <c r="D47" s="318" t="s">
        <v>1060</v>
      </c>
      <c r="E47" s="316">
        <v>65</v>
      </c>
    </row>
    <row r="48" spans="2:5">
      <c r="B48" s="314" t="s">
        <v>163</v>
      </c>
      <c r="C48" s="315" t="s">
        <v>176</v>
      </c>
      <c r="D48" s="291" t="s">
        <v>1060</v>
      </c>
      <c r="E48" s="314">
        <v>70</v>
      </c>
    </row>
    <row r="49" spans="2:5">
      <c r="B49" s="316" t="s">
        <v>163</v>
      </c>
      <c r="C49" s="317" t="s">
        <v>177</v>
      </c>
      <c r="D49" s="318" t="s">
        <v>1060</v>
      </c>
      <c r="E49" s="316">
        <v>70</v>
      </c>
    </row>
    <row r="50" spans="2:5">
      <c r="B50" s="314" t="s">
        <v>163</v>
      </c>
      <c r="C50" s="315" t="s">
        <v>178</v>
      </c>
      <c r="D50" s="291" t="s">
        <v>1060</v>
      </c>
      <c r="E50" s="314">
        <v>70</v>
      </c>
    </row>
    <row r="51" spans="2:5">
      <c r="B51" s="316" t="s">
        <v>163</v>
      </c>
      <c r="C51" s="317" t="s">
        <v>179</v>
      </c>
      <c r="D51" s="318" t="s">
        <v>1060</v>
      </c>
      <c r="E51" s="316">
        <v>70</v>
      </c>
    </row>
    <row r="52" spans="2:5">
      <c r="B52" s="314" t="s">
        <v>163</v>
      </c>
      <c r="C52" s="315" t="s">
        <v>180</v>
      </c>
      <c r="D52" s="291" t="s">
        <v>1060</v>
      </c>
      <c r="E52" s="314">
        <v>70</v>
      </c>
    </row>
    <row r="53" spans="2:5">
      <c r="B53" s="316" t="s">
        <v>163</v>
      </c>
      <c r="C53" s="317" t="s">
        <v>181</v>
      </c>
      <c r="D53" s="318" t="s">
        <v>1060</v>
      </c>
      <c r="E53" s="316">
        <v>70</v>
      </c>
    </row>
    <row r="54" spans="2:5">
      <c r="B54" s="314" t="s">
        <v>163</v>
      </c>
      <c r="C54" s="315" t="s">
        <v>182</v>
      </c>
      <c r="D54" s="291" t="s">
        <v>1060</v>
      </c>
      <c r="E54" s="314">
        <v>78</v>
      </c>
    </row>
    <row r="55" spans="2:5">
      <c r="B55" s="316" t="s">
        <v>163</v>
      </c>
      <c r="C55" s="317" t="s">
        <v>183</v>
      </c>
      <c r="D55" s="318" t="s">
        <v>1060</v>
      </c>
      <c r="E55" s="316">
        <v>78</v>
      </c>
    </row>
    <row r="56" spans="2:5">
      <c r="B56" s="314" t="s">
        <v>163</v>
      </c>
      <c r="C56" s="315" t="s">
        <v>184</v>
      </c>
      <c r="D56" s="291" t="s">
        <v>1060</v>
      </c>
      <c r="E56" s="314">
        <v>78</v>
      </c>
    </row>
    <row r="57" spans="2:5">
      <c r="B57" s="316" t="s">
        <v>163</v>
      </c>
      <c r="C57" s="317" t="s">
        <v>185</v>
      </c>
      <c r="D57" s="318" t="s">
        <v>1060</v>
      </c>
      <c r="E57" s="316">
        <v>78</v>
      </c>
    </row>
    <row r="58" spans="2:5">
      <c r="B58" s="314" t="s">
        <v>163</v>
      </c>
      <c r="C58" s="315" t="s">
        <v>186</v>
      </c>
      <c r="D58" s="291" t="s">
        <v>1060</v>
      </c>
      <c r="E58" s="314">
        <v>72</v>
      </c>
    </row>
    <row r="59" spans="2:5">
      <c r="B59" s="316" t="s">
        <v>163</v>
      </c>
      <c r="C59" s="317" t="s">
        <v>187</v>
      </c>
      <c r="D59" s="318" t="s">
        <v>1060</v>
      </c>
      <c r="E59" s="316">
        <v>72</v>
      </c>
    </row>
    <row r="60" spans="2:5">
      <c r="B60" s="314" t="s">
        <v>163</v>
      </c>
      <c r="C60" s="315" t="s">
        <v>188</v>
      </c>
      <c r="D60" s="291" t="s">
        <v>1060</v>
      </c>
      <c r="E60" s="314">
        <v>72</v>
      </c>
    </row>
    <row r="61" spans="2:5">
      <c r="B61" s="316" t="s">
        <v>163</v>
      </c>
      <c r="C61" s="317" t="s">
        <v>189</v>
      </c>
      <c r="D61" s="318" t="s">
        <v>1060</v>
      </c>
      <c r="E61" s="316">
        <v>72</v>
      </c>
    </row>
    <row r="62" spans="2:5">
      <c r="B62" s="314" t="s">
        <v>163</v>
      </c>
      <c r="C62" s="315" t="s">
        <v>759</v>
      </c>
      <c r="D62" s="291" t="s">
        <v>1060</v>
      </c>
      <c r="E62" s="314">
        <v>90</v>
      </c>
    </row>
    <row r="63" spans="2:5">
      <c r="B63" s="316" t="s">
        <v>163</v>
      </c>
      <c r="C63" s="317" t="s">
        <v>761</v>
      </c>
      <c r="D63" s="318" t="s">
        <v>1060</v>
      </c>
      <c r="E63" s="316">
        <v>90</v>
      </c>
    </row>
    <row r="64" spans="2:5">
      <c r="B64" s="314" t="s">
        <v>163</v>
      </c>
      <c r="C64" s="315" t="s">
        <v>760</v>
      </c>
      <c r="D64" s="291" t="s">
        <v>1060</v>
      </c>
      <c r="E64" s="314">
        <v>90</v>
      </c>
    </row>
    <row r="65" spans="2:5">
      <c r="B65" s="316" t="s">
        <v>163</v>
      </c>
      <c r="C65" s="317" t="s">
        <v>762</v>
      </c>
      <c r="D65" s="318" t="s">
        <v>1060</v>
      </c>
      <c r="E65" s="316">
        <v>90</v>
      </c>
    </row>
    <row r="66" spans="2:5">
      <c r="B66" s="314" t="s">
        <v>92</v>
      </c>
      <c r="C66" s="315" t="s">
        <v>61</v>
      </c>
      <c r="D66" s="291" t="s">
        <v>1060</v>
      </c>
      <c r="E66" s="314">
        <v>24</v>
      </c>
    </row>
    <row r="67" spans="2:5">
      <c r="B67" s="316" t="s">
        <v>92</v>
      </c>
      <c r="C67" s="317" t="s">
        <v>62</v>
      </c>
      <c r="D67" s="318" t="s">
        <v>1060</v>
      </c>
      <c r="E67" s="316">
        <v>24</v>
      </c>
    </row>
    <row r="68" spans="2:5">
      <c r="B68" s="314" t="s">
        <v>92</v>
      </c>
      <c r="C68" s="315" t="s">
        <v>63</v>
      </c>
      <c r="D68" s="291" t="s">
        <v>1060</v>
      </c>
      <c r="E68" s="314">
        <v>24</v>
      </c>
    </row>
    <row r="69" spans="2:5">
      <c r="B69" s="316" t="s">
        <v>92</v>
      </c>
      <c r="C69" s="317" t="s">
        <v>64</v>
      </c>
      <c r="D69" s="318" t="s">
        <v>1060</v>
      </c>
      <c r="E69" s="316">
        <v>24</v>
      </c>
    </row>
    <row r="70" spans="2:5">
      <c r="B70" s="314" t="s">
        <v>92</v>
      </c>
      <c r="C70" s="315" t="s">
        <v>65</v>
      </c>
      <c r="D70" s="291" t="s">
        <v>1060</v>
      </c>
      <c r="E70" s="314">
        <v>36</v>
      </c>
    </row>
    <row r="71" spans="2:5">
      <c r="B71" s="316" t="s">
        <v>92</v>
      </c>
      <c r="C71" s="317" t="s">
        <v>66</v>
      </c>
      <c r="D71" s="318" t="s">
        <v>1060</v>
      </c>
      <c r="E71" s="316">
        <v>36</v>
      </c>
    </row>
    <row r="72" spans="2:5">
      <c r="B72" s="314" t="s">
        <v>92</v>
      </c>
      <c r="C72" s="315" t="s">
        <v>67</v>
      </c>
      <c r="D72" s="291" t="s">
        <v>1060</v>
      </c>
      <c r="E72" s="314">
        <v>10.199999999999999</v>
      </c>
    </row>
    <row r="73" spans="2:5">
      <c r="B73" s="316" t="s">
        <v>60</v>
      </c>
      <c r="C73" s="317" t="s">
        <v>26</v>
      </c>
      <c r="D73" s="318" t="s">
        <v>1060</v>
      </c>
      <c r="E73" s="316">
        <v>45</v>
      </c>
    </row>
    <row r="74" spans="2:5">
      <c r="B74" s="314" t="s">
        <v>60</v>
      </c>
      <c r="C74" s="315" t="s">
        <v>27</v>
      </c>
      <c r="D74" s="291" t="s">
        <v>1060</v>
      </c>
      <c r="E74" s="314">
        <v>45</v>
      </c>
    </row>
    <row r="75" spans="2:5">
      <c r="B75" s="316" t="s">
        <v>60</v>
      </c>
      <c r="C75" s="317" t="s">
        <v>28</v>
      </c>
      <c r="D75" s="318" t="s">
        <v>1060</v>
      </c>
      <c r="E75" s="316">
        <v>45</v>
      </c>
    </row>
    <row r="76" spans="2:5">
      <c r="B76" s="314" t="s">
        <v>60</v>
      </c>
      <c r="C76" s="315" t="s">
        <v>29</v>
      </c>
      <c r="D76" s="291" t="s">
        <v>1060</v>
      </c>
      <c r="E76" s="314">
        <v>45</v>
      </c>
    </row>
    <row r="77" spans="2:5">
      <c r="B77" s="316" t="s">
        <v>60</v>
      </c>
      <c r="C77" s="317" t="s">
        <v>30</v>
      </c>
      <c r="D77" s="318" t="s">
        <v>1060</v>
      </c>
      <c r="E77" s="316">
        <v>45</v>
      </c>
    </row>
    <row r="78" spans="2:5">
      <c r="B78" s="314" t="s">
        <v>60</v>
      </c>
      <c r="C78" s="315" t="s">
        <v>31</v>
      </c>
      <c r="D78" s="291" t="s">
        <v>1060</v>
      </c>
      <c r="E78" s="314">
        <v>45</v>
      </c>
    </row>
    <row r="79" spans="2:5">
      <c r="B79" s="316" t="s">
        <v>92</v>
      </c>
      <c r="C79" s="317" t="s">
        <v>68</v>
      </c>
      <c r="D79" s="318" t="s">
        <v>1060</v>
      </c>
      <c r="E79" s="316">
        <v>12</v>
      </c>
    </row>
    <row r="80" spans="2:5">
      <c r="B80" s="314" t="s">
        <v>92</v>
      </c>
      <c r="C80" s="315" t="s">
        <v>69</v>
      </c>
      <c r="D80" s="291" t="s">
        <v>1060</v>
      </c>
      <c r="E80" s="314">
        <v>36</v>
      </c>
    </row>
    <row r="81" spans="2:5">
      <c r="B81" s="316" t="s">
        <v>92</v>
      </c>
      <c r="C81" s="317" t="s">
        <v>70</v>
      </c>
      <c r="D81" s="318" t="s">
        <v>1060</v>
      </c>
      <c r="E81" s="316">
        <v>10.199999999999999</v>
      </c>
    </row>
    <row r="82" spans="2:5">
      <c r="B82" s="314" t="s">
        <v>197</v>
      </c>
      <c r="C82" s="315" t="s">
        <v>190</v>
      </c>
      <c r="D82" s="291" t="s">
        <v>1060</v>
      </c>
      <c r="E82" s="314">
        <v>20</v>
      </c>
    </row>
    <row r="83" spans="2:5">
      <c r="B83" s="316" t="s">
        <v>197</v>
      </c>
      <c r="C83" s="317" t="s">
        <v>191</v>
      </c>
      <c r="D83" s="318" t="s">
        <v>1060</v>
      </c>
      <c r="E83" s="316">
        <v>20</v>
      </c>
    </row>
    <row r="84" spans="2:5">
      <c r="B84" s="314" t="s">
        <v>197</v>
      </c>
      <c r="C84" s="315" t="s">
        <v>192</v>
      </c>
      <c r="D84" s="291" t="s">
        <v>1060</v>
      </c>
      <c r="E84" s="314">
        <v>20</v>
      </c>
    </row>
    <row r="85" spans="2:5">
      <c r="B85" s="316" t="s">
        <v>197</v>
      </c>
      <c r="C85" s="317" t="s">
        <v>193</v>
      </c>
      <c r="D85" s="318" t="s">
        <v>1060</v>
      </c>
      <c r="E85" s="316">
        <v>20</v>
      </c>
    </row>
    <row r="86" spans="2:5">
      <c r="B86" s="314" t="s">
        <v>197</v>
      </c>
      <c r="C86" s="315" t="s">
        <v>194</v>
      </c>
      <c r="D86" s="291" t="s">
        <v>1060</v>
      </c>
      <c r="E86" s="314">
        <v>20</v>
      </c>
    </row>
    <row r="87" spans="2:5">
      <c r="B87" s="316" t="s">
        <v>197</v>
      </c>
      <c r="C87" s="317" t="s">
        <v>195</v>
      </c>
      <c r="D87" s="318" t="s">
        <v>1060</v>
      </c>
      <c r="E87" s="316">
        <v>20</v>
      </c>
    </row>
    <row r="88" spans="2:5">
      <c r="B88" s="314" t="s">
        <v>197</v>
      </c>
      <c r="C88" s="315" t="s">
        <v>196</v>
      </c>
      <c r="D88" s="291" t="s">
        <v>1060</v>
      </c>
      <c r="E88" s="314">
        <v>211</v>
      </c>
    </row>
    <row r="89" spans="2:5">
      <c r="B89" s="316" t="s">
        <v>92</v>
      </c>
      <c r="C89" s="317" t="s">
        <v>71</v>
      </c>
      <c r="D89" s="318" t="s">
        <v>1060</v>
      </c>
      <c r="E89" s="316">
        <v>90</v>
      </c>
    </row>
    <row r="90" spans="2:5">
      <c r="B90" s="314" t="s">
        <v>60</v>
      </c>
      <c r="C90" s="315" t="s">
        <v>32</v>
      </c>
      <c r="D90" s="291" t="s">
        <v>1060</v>
      </c>
      <c r="E90" s="314">
        <v>45</v>
      </c>
    </row>
    <row r="91" spans="2:5">
      <c r="B91" s="316" t="s">
        <v>60</v>
      </c>
      <c r="C91" s="317" t="s">
        <v>33</v>
      </c>
      <c r="D91" s="318" t="s">
        <v>1060</v>
      </c>
      <c r="E91" s="316">
        <v>45</v>
      </c>
    </row>
    <row r="92" spans="2:5">
      <c r="B92" s="314" t="s">
        <v>92</v>
      </c>
      <c r="C92" s="315" t="s">
        <v>1032</v>
      </c>
      <c r="D92" s="291" t="s">
        <v>1060</v>
      </c>
      <c r="E92" s="314">
        <v>10.4</v>
      </c>
    </row>
    <row r="93" spans="2:5">
      <c r="B93" s="316" t="s">
        <v>272</v>
      </c>
      <c r="C93" s="317" t="s">
        <v>210</v>
      </c>
      <c r="D93" s="318" t="s">
        <v>1060</v>
      </c>
      <c r="E93" s="316">
        <v>105</v>
      </c>
    </row>
    <row r="94" spans="2:5">
      <c r="B94" s="314" t="s">
        <v>272</v>
      </c>
      <c r="C94" s="315" t="s">
        <v>211</v>
      </c>
      <c r="D94" s="291" t="s">
        <v>1060</v>
      </c>
      <c r="E94" s="314">
        <v>105</v>
      </c>
    </row>
    <row r="95" spans="2:5">
      <c r="B95" s="316" t="s">
        <v>272</v>
      </c>
      <c r="C95" s="317" t="s">
        <v>212</v>
      </c>
      <c r="D95" s="318" t="s">
        <v>1060</v>
      </c>
      <c r="E95" s="316">
        <v>35</v>
      </c>
    </row>
    <row r="96" spans="2:5">
      <c r="B96" s="314" t="s">
        <v>272</v>
      </c>
      <c r="C96" s="315" t="s">
        <v>213</v>
      </c>
      <c r="D96" s="291" t="s">
        <v>1060</v>
      </c>
      <c r="E96" s="314">
        <v>35</v>
      </c>
    </row>
    <row r="97" spans="2:5">
      <c r="B97" s="316" t="s">
        <v>272</v>
      </c>
      <c r="C97" s="317" t="s">
        <v>214</v>
      </c>
      <c r="D97" s="318" t="s">
        <v>1060</v>
      </c>
      <c r="E97" s="316">
        <v>25</v>
      </c>
    </row>
    <row r="98" spans="2:5">
      <c r="B98" s="314" t="s">
        <v>272</v>
      </c>
      <c r="C98" s="315" t="s">
        <v>215</v>
      </c>
      <c r="D98" s="291" t="s">
        <v>1060</v>
      </c>
      <c r="E98" s="314">
        <v>25</v>
      </c>
    </row>
    <row r="99" spans="2:5">
      <c r="B99" s="316" t="s">
        <v>272</v>
      </c>
      <c r="C99" s="317" t="s">
        <v>216</v>
      </c>
      <c r="D99" s="318" t="s">
        <v>1060</v>
      </c>
      <c r="E99" s="316">
        <v>25</v>
      </c>
    </row>
    <row r="100" spans="2:5">
      <c r="B100" s="314" t="s">
        <v>272</v>
      </c>
      <c r="C100" s="315" t="s">
        <v>217</v>
      </c>
      <c r="D100" s="291" t="s">
        <v>1060</v>
      </c>
      <c r="E100" s="314">
        <v>25</v>
      </c>
    </row>
    <row r="101" spans="2:5">
      <c r="B101" s="316" t="s">
        <v>272</v>
      </c>
      <c r="C101" s="317" t="s">
        <v>218</v>
      </c>
      <c r="D101" s="318" t="s">
        <v>1060</v>
      </c>
      <c r="E101" s="316">
        <v>20</v>
      </c>
    </row>
    <row r="102" spans="2:5">
      <c r="B102" s="314" t="s">
        <v>272</v>
      </c>
      <c r="C102" s="315" t="s">
        <v>219</v>
      </c>
      <c r="D102" s="291" t="s">
        <v>1060</v>
      </c>
      <c r="E102" s="314">
        <v>40</v>
      </c>
    </row>
    <row r="103" spans="2:5">
      <c r="B103" s="316" t="s">
        <v>272</v>
      </c>
      <c r="C103" s="317" t="s">
        <v>220</v>
      </c>
      <c r="D103" s="318" t="s">
        <v>1060</v>
      </c>
      <c r="E103" s="316">
        <v>49</v>
      </c>
    </row>
    <row r="104" spans="2:5">
      <c r="B104" s="314" t="s">
        <v>272</v>
      </c>
      <c r="C104" s="315" t="s">
        <v>221</v>
      </c>
      <c r="D104" s="291" t="s">
        <v>1060</v>
      </c>
      <c r="E104" s="314">
        <v>49</v>
      </c>
    </row>
    <row r="105" spans="2:5">
      <c r="B105" s="316" t="s">
        <v>272</v>
      </c>
      <c r="C105" s="317" t="s">
        <v>222</v>
      </c>
      <c r="D105" s="318" t="s">
        <v>1060</v>
      </c>
      <c r="E105" s="316">
        <v>31</v>
      </c>
    </row>
    <row r="106" spans="2:5">
      <c r="B106" s="314" t="s">
        <v>272</v>
      </c>
      <c r="C106" s="315" t="s">
        <v>223</v>
      </c>
      <c r="D106" s="291" t="s">
        <v>1060</v>
      </c>
      <c r="E106" s="314">
        <v>170</v>
      </c>
    </row>
    <row r="107" spans="2:5">
      <c r="B107" s="316" t="s">
        <v>272</v>
      </c>
      <c r="C107" s="317" t="s">
        <v>224</v>
      </c>
      <c r="D107" s="318" t="s">
        <v>1060</v>
      </c>
      <c r="E107" s="316">
        <v>140</v>
      </c>
    </row>
    <row r="108" spans="2:5">
      <c r="B108" s="314" t="s">
        <v>272</v>
      </c>
      <c r="C108" s="315" t="s">
        <v>225</v>
      </c>
      <c r="D108" s="291" t="s">
        <v>1060</v>
      </c>
      <c r="E108" s="314">
        <v>40</v>
      </c>
    </row>
    <row r="109" spans="2:5">
      <c r="B109" s="316" t="s">
        <v>272</v>
      </c>
      <c r="C109" s="317" t="s">
        <v>226</v>
      </c>
      <c r="D109" s="318" t="s">
        <v>1060</v>
      </c>
      <c r="E109" s="316">
        <v>40</v>
      </c>
    </row>
    <row r="110" spans="2:5">
      <c r="B110" s="314" t="s">
        <v>272</v>
      </c>
      <c r="C110" s="315" t="s">
        <v>227</v>
      </c>
      <c r="D110" s="291" t="s">
        <v>1060</v>
      </c>
      <c r="E110" s="314">
        <v>49</v>
      </c>
    </row>
    <row r="111" spans="2:5">
      <c r="B111" s="316" t="s">
        <v>272</v>
      </c>
      <c r="C111" s="317" t="s">
        <v>228</v>
      </c>
      <c r="D111" s="318" t="s">
        <v>1060</v>
      </c>
      <c r="E111" s="316">
        <v>35</v>
      </c>
    </row>
    <row r="112" spans="2:5">
      <c r="B112" s="314" t="s">
        <v>272</v>
      </c>
      <c r="C112" s="315" t="s">
        <v>229</v>
      </c>
      <c r="D112" s="291" t="s">
        <v>1060</v>
      </c>
      <c r="E112" s="314">
        <v>35</v>
      </c>
    </row>
    <row r="113" spans="2:5">
      <c r="B113" s="316" t="s">
        <v>272</v>
      </c>
      <c r="C113" s="317" t="s">
        <v>230</v>
      </c>
      <c r="D113" s="318" t="s">
        <v>1060</v>
      </c>
      <c r="E113" s="316">
        <v>31</v>
      </c>
    </row>
    <row r="114" spans="2:5">
      <c r="B114" s="314" t="s">
        <v>272</v>
      </c>
      <c r="C114" s="315" t="s">
        <v>231</v>
      </c>
      <c r="D114" s="291" t="s">
        <v>1060</v>
      </c>
      <c r="E114" s="314">
        <v>58</v>
      </c>
    </row>
    <row r="115" spans="2:5">
      <c r="B115" s="316" t="s">
        <v>272</v>
      </c>
      <c r="C115" s="317" t="s">
        <v>232</v>
      </c>
      <c r="D115" s="318" t="s">
        <v>1060</v>
      </c>
      <c r="E115" s="316">
        <v>58</v>
      </c>
    </row>
    <row r="116" spans="2:5">
      <c r="B116" s="314" t="s">
        <v>272</v>
      </c>
      <c r="C116" s="315" t="s">
        <v>233</v>
      </c>
      <c r="D116" s="291" t="s">
        <v>1060</v>
      </c>
      <c r="E116" s="314">
        <v>50</v>
      </c>
    </row>
    <row r="117" spans="2:5">
      <c r="B117" s="316" t="s">
        <v>272</v>
      </c>
      <c r="C117" s="317" t="s">
        <v>234</v>
      </c>
      <c r="D117" s="318" t="s">
        <v>1060</v>
      </c>
      <c r="E117" s="316">
        <v>40</v>
      </c>
    </row>
    <row r="118" spans="2:5">
      <c r="B118" s="314" t="s">
        <v>272</v>
      </c>
      <c r="C118" s="315" t="s">
        <v>235</v>
      </c>
      <c r="D118" s="291" t="s">
        <v>1060</v>
      </c>
      <c r="E118" s="314">
        <v>42</v>
      </c>
    </row>
    <row r="119" spans="2:5">
      <c r="B119" s="316" t="s">
        <v>272</v>
      </c>
      <c r="C119" s="317" t="s">
        <v>236</v>
      </c>
      <c r="D119" s="318" t="s">
        <v>1060</v>
      </c>
      <c r="E119" s="316">
        <v>42</v>
      </c>
    </row>
    <row r="120" spans="2:5">
      <c r="B120" s="314" t="s">
        <v>272</v>
      </c>
      <c r="C120" s="315" t="s">
        <v>237</v>
      </c>
      <c r="D120" s="291" t="s">
        <v>1060</v>
      </c>
      <c r="E120" s="314">
        <v>40</v>
      </c>
    </row>
    <row r="121" spans="2:5">
      <c r="B121" s="316" t="s">
        <v>272</v>
      </c>
      <c r="C121" s="317" t="s">
        <v>238</v>
      </c>
      <c r="D121" s="318" t="s">
        <v>1060</v>
      </c>
      <c r="E121" s="316">
        <v>40</v>
      </c>
    </row>
    <row r="122" spans="2:5">
      <c r="B122" s="314" t="s">
        <v>1128</v>
      </c>
      <c r="C122" s="315" t="s">
        <v>239</v>
      </c>
      <c r="D122" s="291" t="s">
        <v>1060</v>
      </c>
      <c r="E122" s="314">
        <v>18.100000000000001</v>
      </c>
    </row>
    <row r="123" spans="2:5">
      <c r="B123" s="316" t="s">
        <v>1128</v>
      </c>
      <c r="C123" s="317" t="s">
        <v>240</v>
      </c>
      <c r="D123" s="318" t="s">
        <v>1060</v>
      </c>
      <c r="E123" s="316">
        <v>56.7</v>
      </c>
    </row>
    <row r="124" spans="2:5">
      <c r="B124" s="314" t="s">
        <v>1128</v>
      </c>
      <c r="C124" s="315" t="s">
        <v>241</v>
      </c>
      <c r="D124" s="291" t="s">
        <v>1060</v>
      </c>
      <c r="E124" s="314">
        <v>19.5</v>
      </c>
    </row>
    <row r="125" spans="2:5">
      <c r="B125" s="316" t="s">
        <v>1128</v>
      </c>
      <c r="C125" s="317" t="s">
        <v>242</v>
      </c>
      <c r="D125" s="318" t="s">
        <v>1060</v>
      </c>
      <c r="E125" s="316">
        <v>19.5</v>
      </c>
    </row>
    <row r="126" spans="2:5">
      <c r="B126" s="314" t="s">
        <v>1128</v>
      </c>
      <c r="C126" s="315" t="s">
        <v>243</v>
      </c>
      <c r="D126" s="291" t="s">
        <v>1060</v>
      </c>
      <c r="E126" s="314">
        <v>15.5</v>
      </c>
    </row>
    <row r="127" spans="2:5">
      <c r="B127" s="316" t="s">
        <v>1128</v>
      </c>
      <c r="C127" s="317" t="s">
        <v>1129</v>
      </c>
      <c r="D127" s="318" t="s">
        <v>1060</v>
      </c>
      <c r="E127" s="316">
        <v>15.5</v>
      </c>
    </row>
    <row r="128" spans="2:5">
      <c r="B128" s="314" t="s">
        <v>1128</v>
      </c>
      <c r="C128" s="315" t="s">
        <v>244</v>
      </c>
      <c r="D128" s="291" t="s">
        <v>1060</v>
      </c>
      <c r="E128" s="314">
        <v>15.5</v>
      </c>
    </row>
    <row r="129" spans="2:5">
      <c r="B129" s="316" t="s">
        <v>272</v>
      </c>
      <c r="C129" s="317" t="s">
        <v>245</v>
      </c>
      <c r="D129" s="318" t="s">
        <v>1060</v>
      </c>
      <c r="E129" s="316">
        <v>60</v>
      </c>
    </row>
    <row r="130" spans="2:5">
      <c r="B130" s="314" t="s">
        <v>272</v>
      </c>
      <c r="C130" s="315" t="s">
        <v>246</v>
      </c>
      <c r="D130" s="291" t="s">
        <v>1060</v>
      </c>
      <c r="E130" s="314">
        <v>60</v>
      </c>
    </row>
    <row r="131" spans="2:5">
      <c r="B131" s="316" t="s">
        <v>272</v>
      </c>
      <c r="C131" s="317" t="s">
        <v>247</v>
      </c>
      <c r="D131" s="318" t="s">
        <v>1060</v>
      </c>
      <c r="E131" s="316">
        <v>20</v>
      </c>
    </row>
    <row r="132" spans="2:5">
      <c r="B132" s="314" t="s">
        <v>272</v>
      </c>
      <c r="C132" s="315" t="s">
        <v>248</v>
      </c>
      <c r="D132" s="291" t="s">
        <v>1060</v>
      </c>
      <c r="E132" s="314">
        <v>28</v>
      </c>
    </row>
    <row r="133" spans="2:5">
      <c r="B133" s="316" t="s">
        <v>272</v>
      </c>
      <c r="C133" s="317" t="s">
        <v>249</v>
      </c>
      <c r="D133" s="318" t="s">
        <v>1060</v>
      </c>
      <c r="E133" s="316">
        <v>32</v>
      </c>
    </row>
    <row r="134" spans="2:5">
      <c r="B134" s="314" t="s">
        <v>272</v>
      </c>
      <c r="C134" s="315" t="s">
        <v>250</v>
      </c>
      <c r="D134" s="291" t="s">
        <v>1060</v>
      </c>
      <c r="E134" s="314">
        <v>22</v>
      </c>
    </row>
    <row r="135" spans="2:5">
      <c r="B135" s="316" t="s">
        <v>272</v>
      </c>
      <c r="C135" s="317" t="s">
        <v>251</v>
      </c>
      <c r="D135" s="318" t="s">
        <v>1060</v>
      </c>
      <c r="E135" s="316">
        <v>35</v>
      </c>
    </row>
    <row r="136" spans="2:5">
      <c r="B136" s="314" t="s">
        <v>272</v>
      </c>
      <c r="C136" s="315" t="s">
        <v>252</v>
      </c>
      <c r="D136" s="291" t="s">
        <v>1060</v>
      </c>
      <c r="E136" s="314">
        <v>108</v>
      </c>
    </row>
    <row r="137" spans="2:5">
      <c r="B137" s="316" t="s">
        <v>272</v>
      </c>
      <c r="C137" s="317" t="s">
        <v>253</v>
      </c>
      <c r="D137" s="318" t="s">
        <v>1060</v>
      </c>
      <c r="E137" s="316">
        <v>48</v>
      </c>
    </row>
    <row r="138" spans="2:5">
      <c r="B138" s="314" t="s">
        <v>272</v>
      </c>
      <c r="C138" s="315" t="s">
        <v>254</v>
      </c>
      <c r="D138" s="291" t="s">
        <v>1060</v>
      </c>
      <c r="E138" s="314">
        <v>48</v>
      </c>
    </row>
    <row r="139" spans="2:5">
      <c r="B139" s="316" t="s">
        <v>272</v>
      </c>
      <c r="C139" s="317" t="s">
        <v>255</v>
      </c>
      <c r="D139" s="318" t="s">
        <v>1060</v>
      </c>
      <c r="E139" s="316">
        <v>50</v>
      </c>
    </row>
    <row r="140" spans="2:5">
      <c r="B140" s="314" t="s">
        <v>272</v>
      </c>
      <c r="C140" s="315" t="s">
        <v>256</v>
      </c>
      <c r="D140" s="291" t="s">
        <v>1060</v>
      </c>
      <c r="E140" s="314">
        <v>56</v>
      </c>
    </row>
    <row r="141" spans="2:5">
      <c r="B141" s="316" t="s">
        <v>272</v>
      </c>
      <c r="C141" s="317" t="s">
        <v>257</v>
      </c>
      <c r="D141" s="318" t="s">
        <v>1060</v>
      </c>
      <c r="E141" s="316">
        <v>24</v>
      </c>
    </row>
    <row r="142" spans="2:5">
      <c r="B142" s="314" t="s">
        <v>272</v>
      </c>
      <c r="C142" s="315" t="s">
        <v>258</v>
      </c>
      <c r="D142" s="291" t="s">
        <v>1060</v>
      </c>
      <c r="E142" s="314">
        <v>24</v>
      </c>
    </row>
    <row r="143" spans="2:5">
      <c r="B143" s="316" t="s">
        <v>272</v>
      </c>
      <c r="C143" s="317" t="s">
        <v>259</v>
      </c>
      <c r="D143" s="318" t="s">
        <v>1060</v>
      </c>
      <c r="E143" s="316">
        <v>50</v>
      </c>
    </row>
    <row r="144" spans="2:5">
      <c r="B144" s="314" t="s">
        <v>272</v>
      </c>
      <c r="C144" s="315" t="s">
        <v>260</v>
      </c>
      <c r="D144" s="291" t="s">
        <v>1060</v>
      </c>
      <c r="E144" s="314">
        <v>50</v>
      </c>
    </row>
    <row r="145" spans="2:5">
      <c r="B145" s="316" t="s">
        <v>272</v>
      </c>
      <c r="C145" s="317" t="s">
        <v>261</v>
      </c>
      <c r="D145" s="318" t="s">
        <v>1060</v>
      </c>
      <c r="E145" s="316">
        <v>16</v>
      </c>
    </row>
    <row r="146" spans="2:5">
      <c r="B146" s="314" t="s">
        <v>272</v>
      </c>
      <c r="C146" s="315" t="s">
        <v>262</v>
      </c>
      <c r="D146" s="291" t="s">
        <v>1060</v>
      </c>
      <c r="E146" s="314">
        <v>16</v>
      </c>
    </row>
    <row r="147" spans="2:5">
      <c r="B147" s="316" t="s">
        <v>272</v>
      </c>
      <c r="C147" s="317" t="s">
        <v>263</v>
      </c>
      <c r="D147" s="318" t="s">
        <v>1060</v>
      </c>
      <c r="E147" s="316">
        <v>20</v>
      </c>
    </row>
    <row r="148" spans="2:5">
      <c r="B148" s="314" t="s">
        <v>272</v>
      </c>
      <c r="C148" s="315" t="s">
        <v>264</v>
      </c>
      <c r="D148" s="291" t="s">
        <v>1060</v>
      </c>
      <c r="E148" s="314">
        <v>20</v>
      </c>
    </row>
    <row r="149" spans="2:5">
      <c r="B149" s="316" t="s">
        <v>272</v>
      </c>
      <c r="C149" s="317" t="s">
        <v>265</v>
      </c>
      <c r="D149" s="318" t="s">
        <v>1060</v>
      </c>
      <c r="E149" s="316">
        <v>16</v>
      </c>
    </row>
    <row r="150" spans="2:5">
      <c r="B150" s="314" t="s">
        <v>272</v>
      </c>
      <c r="C150" s="315" t="s">
        <v>266</v>
      </c>
      <c r="D150" s="291" t="s">
        <v>1060</v>
      </c>
      <c r="E150" s="314">
        <v>16</v>
      </c>
    </row>
    <row r="151" spans="2:5">
      <c r="B151" s="316" t="s">
        <v>272</v>
      </c>
      <c r="C151" s="317" t="s">
        <v>267</v>
      </c>
      <c r="D151" s="318" t="s">
        <v>1060</v>
      </c>
      <c r="E151" s="316">
        <v>19</v>
      </c>
    </row>
    <row r="152" spans="2:5">
      <c r="B152" s="314" t="s">
        <v>272</v>
      </c>
      <c r="C152" s="315" t="s">
        <v>268</v>
      </c>
      <c r="D152" s="291" t="s">
        <v>1060</v>
      </c>
      <c r="E152" s="314">
        <v>19</v>
      </c>
    </row>
    <row r="153" spans="2:5">
      <c r="B153" s="316" t="s">
        <v>272</v>
      </c>
      <c r="C153" s="317" t="s">
        <v>756</v>
      </c>
      <c r="D153" s="318" t="s">
        <v>1060</v>
      </c>
      <c r="E153" s="316">
        <v>85</v>
      </c>
    </row>
    <row r="154" spans="2:5">
      <c r="B154" s="314" t="s">
        <v>272</v>
      </c>
      <c r="C154" s="315" t="s">
        <v>757</v>
      </c>
      <c r="D154" s="291" t="s">
        <v>1060</v>
      </c>
      <c r="E154" s="314">
        <v>85</v>
      </c>
    </row>
    <row r="155" spans="2:5">
      <c r="B155" s="316" t="s">
        <v>272</v>
      </c>
      <c r="C155" s="317" t="s">
        <v>758</v>
      </c>
      <c r="D155" s="318" t="s">
        <v>1060</v>
      </c>
      <c r="E155" s="316">
        <v>140</v>
      </c>
    </row>
    <row r="156" spans="2:5">
      <c r="B156" s="314" t="s">
        <v>272</v>
      </c>
      <c r="C156" s="315" t="s">
        <v>766</v>
      </c>
      <c r="D156" s="291" t="s">
        <v>1060</v>
      </c>
      <c r="E156" s="314">
        <v>22</v>
      </c>
    </row>
    <row r="157" spans="2:5">
      <c r="B157" s="316" t="s">
        <v>272</v>
      </c>
      <c r="C157" s="317" t="s">
        <v>767</v>
      </c>
      <c r="D157" s="318" t="s">
        <v>1060</v>
      </c>
      <c r="E157" s="316">
        <v>22</v>
      </c>
    </row>
    <row r="158" spans="2:5">
      <c r="B158" s="314" t="s">
        <v>272</v>
      </c>
      <c r="C158" s="315" t="s">
        <v>754</v>
      </c>
      <c r="D158" s="291" t="s">
        <v>1060</v>
      </c>
      <c r="E158" s="314">
        <v>28</v>
      </c>
    </row>
    <row r="159" spans="2:5">
      <c r="B159" s="316" t="s">
        <v>272</v>
      </c>
      <c r="C159" s="317" t="s">
        <v>755</v>
      </c>
      <c r="D159" s="318" t="s">
        <v>1060</v>
      </c>
      <c r="E159" s="316">
        <v>32</v>
      </c>
    </row>
    <row r="160" spans="2:5">
      <c r="B160" s="314" t="s">
        <v>272</v>
      </c>
      <c r="C160" s="315" t="s">
        <v>808</v>
      </c>
      <c r="D160" s="291" t="s">
        <v>1060</v>
      </c>
      <c r="E160" s="314">
        <v>48</v>
      </c>
    </row>
    <row r="161" spans="2:5">
      <c r="B161" s="316" t="s">
        <v>272</v>
      </c>
      <c r="C161" s="317" t="s">
        <v>809</v>
      </c>
      <c r="D161" s="318" t="s">
        <v>1060</v>
      </c>
      <c r="E161" s="316">
        <v>50</v>
      </c>
    </row>
    <row r="162" spans="2:5">
      <c r="B162" s="314" t="s">
        <v>272</v>
      </c>
      <c r="C162" s="315" t="s">
        <v>810</v>
      </c>
      <c r="D162" s="291" t="s">
        <v>1060</v>
      </c>
      <c r="E162" s="314">
        <v>50</v>
      </c>
    </row>
    <row r="163" spans="2:5">
      <c r="B163" s="316" t="s">
        <v>272</v>
      </c>
      <c r="C163" s="317" t="s">
        <v>811</v>
      </c>
      <c r="D163" s="318" t="s">
        <v>1060</v>
      </c>
      <c r="E163" s="316">
        <v>56</v>
      </c>
    </row>
    <row r="164" spans="2:5">
      <c r="B164" s="314" t="s">
        <v>272</v>
      </c>
      <c r="C164" s="315" t="s">
        <v>812</v>
      </c>
      <c r="D164" s="291" t="s">
        <v>1060</v>
      </c>
      <c r="E164" s="314">
        <v>35</v>
      </c>
    </row>
    <row r="165" spans="2:5">
      <c r="B165" s="316" t="s">
        <v>272</v>
      </c>
      <c r="C165" s="317" t="s">
        <v>813</v>
      </c>
      <c r="D165" s="318" t="s">
        <v>1060</v>
      </c>
      <c r="E165" s="316">
        <v>16</v>
      </c>
    </row>
    <row r="166" spans="2:5">
      <c r="B166" s="314" t="s">
        <v>272</v>
      </c>
      <c r="C166" s="315" t="s">
        <v>814</v>
      </c>
      <c r="D166" s="291" t="s">
        <v>1060</v>
      </c>
      <c r="E166" s="314">
        <v>16</v>
      </c>
    </row>
    <row r="167" spans="2:5">
      <c r="B167" s="316" t="s">
        <v>272</v>
      </c>
      <c r="C167" s="317" t="s">
        <v>815</v>
      </c>
      <c r="D167" s="318" t="s">
        <v>1060</v>
      </c>
      <c r="E167" s="316">
        <v>22</v>
      </c>
    </row>
    <row r="168" spans="2:5">
      <c r="B168" s="314" t="s">
        <v>272</v>
      </c>
      <c r="C168" s="315" t="s">
        <v>816</v>
      </c>
      <c r="D168" s="291" t="s">
        <v>1060</v>
      </c>
      <c r="E168" s="314">
        <v>108</v>
      </c>
    </row>
    <row r="169" spans="2:5">
      <c r="B169" s="316" t="s">
        <v>272</v>
      </c>
      <c r="C169" s="317" t="s">
        <v>817</v>
      </c>
      <c r="D169" s="318" t="s">
        <v>1060</v>
      </c>
      <c r="E169" s="316">
        <v>108</v>
      </c>
    </row>
    <row r="170" spans="2:5">
      <c r="B170" s="314" t="s">
        <v>272</v>
      </c>
      <c r="C170" s="315" t="s">
        <v>818</v>
      </c>
      <c r="D170" s="291" t="s">
        <v>1060</v>
      </c>
      <c r="E170" s="314">
        <v>48</v>
      </c>
    </row>
    <row r="171" spans="2:5">
      <c r="B171" s="316" t="s">
        <v>272</v>
      </c>
      <c r="C171" s="317" t="s">
        <v>819</v>
      </c>
      <c r="D171" s="318" t="s">
        <v>1060</v>
      </c>
      <c r="E171" s="316">
        <v>32</v>
      </c>
    </row>
    <row r="172" spans="2:5">
      <c r="B172" s="314" t="s">
        <v>272</v>
      </c>
      <c r="C172" s="315" t="s">
        <v>820</v>
      </c>
      <c r="D172" s="291" t="s">
        <v>1060</v>
      </c>
      <c r="E172" s="314">
        <v>22</v>
      </c>
    </row>
    <row r="173" spans="2:5">
      <c r="B173" s="316" t="s">
        <v>272</v>
      </c>
      <c r="C173" s="317" t="s">
        <v>821</v>
      </c>
      <c r="D173" s="318" t="s">
        <v>1060</v>
      </c>
      <c r="E173" s="316">
        <v>175</v>
      </c>
    </row>
    <row r="174" spans="2:5">
      <c r="B174" s="314" t="s">
        <v>272</v>
      </c>
      <c r="C174" s="315" t="s">
        <v>822</v>
      </c>
      <c r="D174" s="291" t="s">
        <v>1060</v>
      </c>
      <c r="E174" s="314">
        <v>50</v>
      </c>
    </row>
    <row r="175" spans="2:5">
      <c r="B175" s="316" t="s">
        <v>272</v>
      </c>
      <c r="C175" s="317" t="s">
        <v>823</v>
      </c>
      <c r="D175" s="318" t="s">
        <v>1060</v>
      </c>
      <c r="E175" s="316">
        <v>50</v>
      </c>
    </row>
    <row r="176" spans="2:5">
      <c r="B176" s="314" t="s">
        <v>272</v>
      </c>
      <c r="C176" s="315" t="s">
        <v>824</v>
      </c>
      <c r="D176" s="291" t="s">
        <v>1060</v>
      </c>
      <c r="E176" s="314">
        <v>60</v>
      </c>
    </row>
    <row r="177" spans="2:5">
      <c r="B177" s="316" t="s">
        <v>272</v>
      </c>
      <c r="C177" s="317" t="s">
        <v>825</v>
      </c>
      <c r="D177" s="318" t="s">
        <v>1060</v>
      </c>
      <c r="E177" s="316">
        <v>60</v>
      </c>
    </row>
    <row r="178" spans="2:5">
      <c r="B178" s="314" t="s">
        <v>272</v>
      </c>
      <c r="C178" s="315" t="s">
        <v>844</v>
      </c>
      <c r="D178" s="291" t="s">
        <v>1060</v>
      </c>
      <c r="E178" s="314">
        <v>58</v>
      </c>
    </row>
    <row r="179" spans="2:5">
      <c r="B179" s="316" t="s">
        <v>272</v>
      </c>
      <c r="C179" s="317" t="s">
        <v>845</v>
      </c>
      <c r="D179" s="318" t="s">
        <v>1060</v>
      </c>
      <c r="E179" s="316">
        <v>58</v>
      </c>
    </row>
    <row r="180" spans="2:5">
      <c r="B180" s="314" t="s">
        <v>272</v>
      </c>
      <c r="C180" s="315" t="s">
        <v>846</v>
      </c>
      <c r="D180" s="291" t="s">
        <v>1060</v>
      </c>
      <c r="E180" s="314">
        <v>50</v>
      </c>
    </row>
    <row r="181" spans="2:5">
      <c r="B181" s="316" t="s">
        <v>272</v>
      </c>
      <c r="C181" s="317" t="s">
        <v>847</v>
      </c>
      <c r="D181" s="318" t="s">
        <v>1060</v>
      </c>
      <c r="E181" s="316">
        <v>42</v>
      </c>
    </row>
    <row r="182" spans="2:5">
      <c r="B182" s="314" t="s">
        <v>272</v>
      </c>
      <c r="C182" s="315" t="s">
        <v>848</v>
      </c>
      <c r="D182" s="291" t="s">
        <v>1060</v>
      </c>
      <c r="E182" s="314">
        <v>42</v>
      </c>
    </row>
    <row r="183" spans="2:5">
      <c r="B183" s="316" t="s">
        <v>272</v>
      </c>
      <c r="C183" s="317" t="s">
        <v>849</v>
      </c>
      <c r="D183" s="318" t="s">
        <v>1060</v>
      </c>
      <c r="E183" s="316">
        <v>40</v>
      </c>
    </row>
    <row r="184" spans="2:5">
      <c r="B184" s="314" t="s">
        <v>272</v>
      </c>
      <c r="C184" s="315" t="s">
        <v>850</v>
      </c>
      <c r="D184" s="291" t="s">
        <v>1060</v>
      </c>
      <c r="E184" s="314">
        <v>40</v>
      </c>
    </row>
    <row r="185" spans="2:5">
      <c r="B185" s="316" t="s">
        <v>163</v>
      </c>
      <c r="C185" s="317" t="s">
        <v>857</v>
      </c>
      <c r="D185" s="318" t="s">
        <v>1060</v>
      </c>
      <c r="E185" s="316">
        <v>70</v>
      </c>
    </row>
    <row r="186" spans="2:5">
      <c r="B186" s="314" t="s">
        <v>163</v>
      </c>
      <c r="C186" s="315" t="s">
        <v>858</v>
      </c>
      <c r="D186" s="291" t="s">
        <v>1060</v>
      </c>
      <c r="E186" s="314">
        <v>70</v>
      </c>
    </row>
    <row r="187" spans="2:5">
      <c r="B187" s="316" t="s">
        <v>163</v>
      </c>
      <c r="C187" s="317" t="s">
        <v>859</v>
      </c>
      <c r="D187" s="318" t="s">
        <v>1060</v>
      </c>
      <c r="E187" s="316">
        <v>70</v>
      </c>
    </row>
    <row r="188" spans="2:5">
      <c r="B188" s="314" t="s">
        <v>163</v>
      </c>
      <c r="C188" s="315" t="s">
        <v>860</v>
      </c>
      <c r="D188" s="291" t="s">
        <v>1060</v>
      </c>
      <c r="E188" s="314">
        <v>70</v>
      </c>
    </row>
    <row r="189" spans="2:5">
      <c r="B189" s="316" t="s">
        <v>163</v>
      </c>
      <c r="C189" s="317" t="s">
        <v>861</v>
      </c>
      <c r="D189" s="318" t="s">
        <v>1060</v>
      </c>
      <c r="E189" s="316">
        <v>65</v>
      </c>
    </row>
    <row r="190" spans="2:5">
      <c r="B190" s="314" t="s">
        <v>163</v>
      </c>
      <c r="C190" s="315" t="s">
        <v>862</v>
      </c>
      <c r="D190" s="291" t="s">
        <v>1060</v>
      </c>
      <c r="E190" s="314">
        <v>65</v>
      </c>
    </row>
    <row r="191" spans="2:5">
      <c r="B191" s="316" t="s">
        <v>163</v>
      </c>
      <c r="C191" s="317" t="s">
        <v>835</v>
      </c>
      <c r="D191" s="318" t="s">
        <v>1060</v>
      </c>
      <c r="E191" s="316">
        <v>65</v>
      </c>
    </row>
    <row r="192" spans="2:5">
      <c r="B192" s="314" t="s">
        <v>163</v>
      </c>
      <c r="C192" s="315" t="s">
        <v>836</v>
      </c>
      <c r="D192" s="291" t="s">
        <v>1060</v>
      </c>
      <c r="E192" s="314">
        <v>65</v>
      </c>
    </row>
    <row r="193" spans="2:5">
      <c r="B193" s="316" t="s">
        <v>163</v>
      </c>
      <c r="C193" s="317" t="s">
        <v>863</v>
      </c>
      <c r="D193" s="318" t="s">
        <v>1060</v>
      </c>
      <c r="E193" s="316">
        <v>56</v>
      </c>
    </row>
    <row r="194" spans="2:5">
      <c r="B194" s="314" t="s">
        <v>163</v>
      </c>
      <c r="C194" s="315" t="s">
        <v>864</v>
      </c>
      <c r="D194" s="291" t="s">
        <v>1060</v>
      </c>
      <c r="E194" s="314">
        <v>56</v>
      </c>
    </row>
    <row r="195" spans="2:5">
      <c r="B195" s="316" t="s">
        <v>163</v>
      </c>
      <c r="C195" s="317" t="s">
        <v>865</v>
      </c>
      <c r="D195" s="318" t="s">
        <v>1060</v>
      </c>
      <c r="E195" s="316">
        <v>65</v>
      </c>
    </row>
    <row r="196" spans="2:5">
      <c r="B196" s="314" t="s">
        <v>163</v>
      </c>
      <c r="C196" s="315" t="s">
        <v>866</v>
      </c>
      <c r="D196" s="291" t="s">
        <v>1060</v>
      </c>
      <c r="E196" s="314">
        <v>65</v>
      </c>
    </row>
    <row r="197" spans="2:5">
      <c r="B197" s="316" t="s">
        <v>163</v>
      </c>
      <c r="C197" s="317" t="s">
        <v>867</v>
      </c>
      <c r="D197" s="318" t="s">
        <v>1060</v>
      </c>
      <c r="E197" s="316">
        <v>70</v>
      </c>
    </row>
    <row r="198" spans="2:5">
      <c r="B198" s="314" t="s">
        <v>163</v>
      </c>
      <c r="C198" s="315" t="s">
        <v>868</v>
      </c>
      <c r="D198" s="291" t="s">
        <v>1060</v>
      </c>
      <c r="E198" s="314">
        <v>70</v>
      </c>
    </row>
    <row r="199" spans="2:5">
      <c r="B199" s="316" t="s">
        <v>163</v>
      </c>
      <c r="C199" s="317" t="s">
        <v>869</v>
      </c>
      <c r="D199" s="318" t="s">
        <v>1060</v>
      </c>
      <c r="E199" s="316">
        <v>70</v>
      </c>
    </row>
    <row r="200" spans="2:5">
      <c r="B200" s="314" t="s">
        <v>163</v>
      </c>
      <c r="C200" s="315" t="s">
        <v>870</v>
      </c>
      <c r="D200" s="291" t="s">
        <v>1060</v>
      </c>
      <c r="E200" s="314">
        <v>70</v>
      </c>
    </row>
    <row r="201" spans="2:5">
      <c r="B201" s="316" t="s">
        <v>163</v>
      </c>
      <c r="C201" s="317" t="s">
        <v>871</v>
      </c>
      <c r="D201" s="318" t="s">
        <v>1060</v>
      </c>
      <c r="E201" s="316">
        <v>70</v>
      </c>
    </row>
    <row r="202" spans="2:5">
      <c r="B202" s="314" t="s">
        <v>163</v>
      </c>
      <c r="C202" s="315" t="s">
        <v>872</v>
      </c>
      <c r="D202" s="291" t="s">
        <v>1060</v>
      </c>
      <c r="E202" s="314">
        <v>70</v>
      </c>
    </row>
    <row r="203" spans="2:5">
      <c r="B203" s="316" t="s">
        <v>163</v>
      </c>
      <c r="C203" s="317" t="s">
        <v>873</v>
      </c>
      <c r="D203" s="318" t="s">
        <v>1060</v>
      </c>
      <c r="E203" s="316">
        <v>78</v>
      </c>
    </row>
    <row r="204" spans="2:5">
      <c r="B204" s="314" t="s">
        <v>163</v>
      </c>
      <c r="C204" s="315" t="s">
        <v>874</v>
      </c>
      <c r="D204" s="291" t="s">
        <v>1060</v>
      </c>
      <c r="E204" s="314">
        <v>78</v>
      </c>
    </row>
    <row r="205" spans="2:5">
      <c r="B205" s="316" t="s">
        <v>163</v>
      </c>
      <c r="C205" s="317" t="s">
        <v>875</v>
      </c>
      <c r="D205" s="318" t="s">
        <v>1060</v>
      </c>
      <c r="E205" s="316">
        <v>78</v>
      </c>
    </row>
    <row r="206" spans="2:5">
      <c r="B206" s="314" t="s">
        <v>163</v>
      </c>
      <c r="C206" s="315" t="s">
        <v>876</v>
      </c>
      <c r="D206" s="291" t="s">
        <v>1060</v>
      </c>
      <c r="E206" s="314">
        <v>78</v>
      </c>
    </row>
    <row r="207" spans="2:5">
      <c r="B207" s="316" t="s">
        <v>163</v>
      </c>
      <c r="C207" s="317" t="s">
        <v>877</v>
      </c>
      <c r="D207" s="318" t="s">
        <v>1060</v>
      </c>
      <c r="E207" s="316">
        <v>72</v>
      </c>
    </row>
    <row r="208" spans="2:5">
      <c r="B208" s="314" t="s">
        <v>163</v>
      </c>
      <c r="C208" s="315" t="s">
        <v>878</v>
      </c>
      <c r="D208" s="291" t="s">
        <v>1060</v>
      </c>
      <c r="E208" s="314">
        <v>72</v>
      </c>
    </row>
    <row r="209" spans="2:5">
      <c r="B209" s="316" t="s">
        <v>163</v>
      </c>
      <c r="C209" s="317" t="s">
        <v>879</v>
      </c>
      <c r="D209" s="318" t="s">
        <v>1060</v>
      </c>
      <c r="E209" s="316">
        <v>72</v>
      </c>
    </row>
    <row r="210" spans="2:5">
      <c r="B210" s="314" t="s">
        <v>163</v>
      </c>
      <c r="C210" s="315" t="s">
        <v>880</v>
      </c>
      <c r="D210" s="291" t="s">
        <v>1060</v>
      </c>
      <c r="E210" s="314">
        <v>72</v>
      </c>
    </row>
    <row r="211" spans="2:5">
      <c r="B211" s="316" t="s">
        <v>163</v>
      </c>
      <c r="C211" s="317" t="s">
        <v>881</v>
      </c>
      <c r="D211" s="318" t="s">
        <v>1060</v>
      </c>
      <c r="E211" s="316">
        <v>90</v>
      </c>
    </row>
    <row r="212" spans="2:5">
      <c r="B212" s="314" t="s">
        <v>163</v>
      </c>
      <c r="C212" s="315" t="s">
        <v>882</v>
      </c>
      <c r="D212" s="291" t="s">
        <v>1060</v>
      </c>
      <c r="E212" s="314">
        <v>90</v>
      </c>
    </row>
    <row r="213" spans="2:5">
      <c r="B213" s="316" t="s">
        <v>163</v>
      </c>
      <c r="C213" s="317" t="s">
        <v>883</v>
      </c>
      <c r="D213" s="318" t="s">
        <v>1060</v>
      </c>
      <c r="E213" s="316">
        <v>90</v>
      </c>
    </row>
    <row r="214" spans="2:5">
      <c r="B214" s="314" t="s">
        <v>163</v>
      </c>
      <c r="C214" s="315" t="s">
        <v>884</v>
      </c>
      <c r="D214" s="291" t="s">
        <v>1060</v>
      </c>
      <c r="E214" s="314">
        <v>90</v>
      </c>
    </row>
    <row r="215" spans="2:5">
      <c r="B215" s="316" t="s">
        <v>60</v>
      </c>
      <c r="C215" s="317" t="s">
        <v>780</v>
      </c>
      <c r="D215" s="318" t="s">
        <v>1060</v>
      </c>
      <c r="E215" s="316">
        <v>160</v>
      </c>
    </row>
    <row r="216" spans="2:5">
      <c r="B216" s="314" t="s">
        <v>60</v>
      </c>
      <c r="C216" s="315" t="s">
        <v>781</v>
      </c>
      <c r="D216" s="291" t="s">
        <v>1060</v>
      </c>
      <c r="E216" s="314">
        <v>160</v>
      </c>
    </row>
    <row r="217" spans="2:5">
      <c r="B217" s="316" t="s">
        <v>60</v>
      </c>
      <c r="C217" s="317" t="s">
        <v>782</v>
      </c>
      <c r="D217" s="318" t="s">
        <v>1060</v>
      </c>
      <c r="E217" s="316">
        <v>140</v>
      </c>
    </row>
    <row r="218" spans="2:5">
      <c r="B218" s="314" t="s">
        <v>60</v>
      </c>
      <c r="C218" s="315" t="s">
        <v>783</v>
      </c>
      <c r="D218" s="291" t="s">
        <v>1060</v>
      </c>
      <c r="E218" s="314">
        <v>140</v>
      </c>
    </row>
    <row r="219" spans="2:5">
      <c r="B219" s="316" t="s">
        <v>60</v>
      </c>
      <c r="C219" s="317" t="s">
        <v>784</v>
      </c>
      <c r="D219" s="318" t="s">
        <v>1060</v>
      </c>
      <c r="E219" s="316">
        <v>160</v>
      </c>
    </row>
    <row r="220" spans="2:5">
      <c r="B220" s="314" t="s">
        <v>60</v>
      </c>
      <c r="C220" s="315" t="s">
        <v>785</v>
      </c>
      <c r="D220" s="291" t="s">
        <v>1060</v>
      </c>
      <c r="E220" s="314">
        <v>160</v>
      </c>
    </row>
    <row r="221" spans="2:5">
      <c r="B221" s="316" t="s">
        <v>197</v>
      </c>
      <c r="C221" s="317" t="s">
        <v>980</v>
      </c>
      <c r="D221" s="318" t="s">
        <v>1060</v>
      </c>
      <c r="E221" s="316">
        <v>60</v>
      </c>
    </row>
    <row r="222" spans="2:5">
      <c r="B222" s="314" t="s">
        <v>197</v>
      </c>
      <c r="C222" s="315" t="s">
        <v>981</v>
      </c>
      <c r="D222" s="291" t="s">
        <v>1060</v>
      </c>
      <c r="E222" s="314">
        <v>60</v>
      </c>
    </row>
    <row r="223" spans="2:5">
      <c r="B223" s="316" t="s">
        <v>197</v>
      </c>
      <c r="C223" s="317" t="s">
        <v>982</v>
      </c>
      <c r="D223" s="318" t="s">
        <v>1060</v>
      </c>
      <c r="E223" s="316">
        <v>60</v>
      </c>
    </row>
    <row r="224" spans="2:5">
      <c r="B224" s="314" t="s">
        <v>197</v>
      </c>
      <c r="C224" s="315" t="s">
        <v>983</v>
      </c>
      <c r="D224" s="291" t="s">
        <v>1060</v>
      </c>
      <c r="E224" s="314">
        <v>60</v>
      </c>
    </row>
    <row r="225" spans="2:5">
      <c r="B225" s="316" t="s">
        <v>197</v>
      </c>
      <c r="C225" s="317" t="s">
        <v>984</v>
      </c>
      <c r="D225" s="318" t="s">
        <v>1060</v>
      </c>
      <c r="E225" s="316">
        <v>60</v>
      </c>
    </row>
    <row r="226" spans="2:5">
      <c r="B226" s="314" t="s">
        <v>197</v>
      </c>
      <c r="C226" s="315" t="s">
        <v>985</v>
      </c>
      <c r="D226" s="291" t="s">
        <v>1060</v>
      </c>
      <c r="E226" s="314">
        <v>60</v>
      </c>
    </row>
    <row r="227" spans="2:5">
      <c r="B227" s="316" t="s">
        <v>60</v>
      </c>
      <c r="C227" s="317" t="s">
        <v>36</v>
      </c>
      <c r="D227" s="318" t="s">
        <v>1060</v>
      </c>
      <c r="E227" s="316">
        <v>140</v>
      </c>
    </row>
    <row r="228" spans="2:5">
      <c r="B228" s="314" t="s">
        <v>60</v>
      </c>
      <c r="C228" s="315" t="s">
        <v>37</v>
      </c>
      <c r="D228" s="291" t="s">
        <v>1060</v>
      </c>
      <c r="E228" s="314">
        <v>140</v>
      </c>
    </row>
    <row r="229" spans="2:5">
      <c r="B229" s="316" t="s">
        <v>132</v>
      </c>
      <c r="C229" s="317" t="s">
        <v>93</v>
      </c>
      <c r="D229" s="318" t="s">
        <v>1060</v>
      </c>
      <c r="E229" s="316">
        <v>1.9812949640287771</v>
      </c>
    </row>
    <row r="230" spans="2:5">
      <c r="B230" s="314" t="s">
        <v>132</v>
      </c>
      <c r="C230" s="315" t="s">
        <v>94</v>
      </c>
      <c r="D230" s="291" t="s">
        <v>1060</v>
      </c>
      <c r="E230" s="314">
        <v>1.6985611510791367</v>
      </c>
    </row>
    <row r="231" spans="2:5">
      <c r="B231" s="316" t="s">
        <v>132</v>
      </c>
      <c r="C231" s="317" t="s">
        <v>95</v>
      </c>
      <c r="D231" s="318" t="s">
        <v>1060</v>
      </c>
      <c r="E231" s="316">
        <v>1.1546762589928059</v>
      </c>
    </row>
    <row r="232" spans="2:5">
      <c r="B232" s="314" t="s">
        <v>132</v>
      </c>
      <c r="C232" s="315" t="s">
        <v>96</v>
      </c>
      <c r="D232" s="291" t="s">
        <v>1060</v>
      </c>
      <c r="E232" s="314">
        <v>1.3035971223021583</v>
      </c>
    </row>
    <row r="233" spans="2:5">
      <c r="B233" s="316" t="s">
        <v>132</v>
      </c>
      <c r="C233" s="317" t="s">
        <v>97</v>
      </c>
      <c r="D233" s="318" t="s">
        <v>1060</v>
      </c>
      <c r="E233" s="316">
        <v>1.4697841726618706</v>
      </c>
    </row>
    <row r="234" spans="2:5">
      <c r="B234" s="314" t="s">
        <v>132</v>
      </c>
      <c r="C234" s="315" t="s">
        <v>98</v>
      </c>
      <c r="D234" s="291" t="s">
        <v>1060</v>
      </c>
      <c r="E234" s="314">
        <v>1.3273381294964028</v>
      </c>
    </row>
    <row r="235" spans="2:5">
      <c r="B235" s="316" t="s">
        <v>132</v>
      </c>
      <c r="C235" s="317" t="s">
        <v>99</v>
      </c>
      <c r="D235" s="318" t="s">
        <v>1060</v>
      </c>
      <c r="E235" s="316">
        <v>3.8148648648648646</v>
      </c>
    </row>
    <row r="236" spans="2:5">
      <c r="B236" s="314" t="s">
        <v>132</v>
      </c>
      <c r="C236" s="315" t="s">
        <v>100</v>
      </c>
      <c r="D236" s="291" t="s">
        <v>1060</v>
      </c>
      <c r="E236" s="314">
        <v>1.65</v>
      </c>
    </row>
    <row r="237" spans="2:5">
      <c r="B237" s="316" t="s">
        <v>132</v>
      </c>
      <c r="C237" s="317" t="s">
        <v>101</v>
      </c>
      <c r="D237" s="318" t="s">
        <v>1060</v>
      </c>
      <c r="E237" s="316">
        <v>2.4081081081081077</v>
      </c>
    </row>
    <row r="238" spans="2:5">
      <c r="B238" s="314" t="s">
        <v>132</v>
      </c>
      <c r="C238" s="315" t="s">
        <v>102</v>
      </c>
      <c r="D238" s="291" t="s">
        <v>1060</v>
      </c>
      <c r="E238" s="314">
        <v>0.93243243243243246</v>
      </c>
    </row>
    <row r="239" spans="2:5">
      <c r="B239" s="316" t="s">
        <v>132</v>
      </c>
      <c r="C239" s="317" t="s">
        <v>103</v>
      </c>
      <c r="D239" s="318" t="s">
        <v>1060</v>
      </c>
      <c r="E239" s="316">
        <v>3.397297297297297</v>
      </c>
    </row>
    <row r="240" spans="2:5">
      <c r="B240" s="314" t="s">
        <v>132</v>
      </c>
      <c r="C240" s="315" t="s">
        <v>104</v>
      </c>
      <c r="D240" s="291" t="s">
        <v>1060</v>
      </c>
      <c r="E240" s="314">
        <v>1.6824324324324322</v>
      </c>
    </row>
    <row r="241" spans="2:5">
      <c r="B241" s="316" t="s">
        <v>132</v>
      </c>
      <c r="C241" s="317" t="s">
        <v>105</v>
      </c>
      <c r="D241" s="318" t="s">
        <v>1060</v>
      </c>
      <c r="E241" s="316">
        <v>2.0635135135135134</v>
      </c>
    </row>
    <row r="242" spans="2:5">
      <c r="B242" s="314" t="s">
        <v>132</v>
      </c>
      <c r="C242" s="315" t="s">
        <v>106</v>
      </c>
      <c r="D242" s="291" t="s">
        <v>1060</v>
      </c>
      <c r="E242" s="314">
        <v>2.7121621621621621</v>
      </c>
    </row>
    <row r="243" spans="2:5">
      <c r="B243" s="316" t="s">
        <v>132</v>
      </c>
      <c r="C243" s="317" t="s">
        <v>107</v>
      </c>
      <c r="D243" s="318" t="s">
        <v>1060</v>
      </c>
      <c r="E243" s="316">
        <v>1.6074324324324325</v>
      </c>
    </row>
    <row r="244" spans="2:5">
      <c r="B244" s="314" t="s">
        <v>132</v>
      </c>
      <c r="C244" s="315" t="s">
        <v>108</v>
      </c>
      <c r="D244" s="291" t="s">
        <v>1060</v>
      </c>
      <c r="E244" s="314">
        <v>1.8608108108108108</v>
      </c>
    </row>
    <row r="245" spans="2:5">
      <c r="B245" s="316" t="s">
        <v>132</v>
      </c>
      <c r="C245" s="317" t="s">
        <v>109</v>
      </c>
      <c r="D245" s="318" t="s">
        <v>1060</v>
      </c>
      <c r="E245" s="316">
        <v>1.4817567567567567</v>
      </c>
    </row>
    <row r="246" spans="2:5">
      <c r="B246" s="314" t="s">
        <v>132</v>
      </c>
      <c r="C246" s="315" t="s">
        <v>110</v>
      </c>
      <c r="D246" s="291" t="s">
        <v>1060</v>
      </c>
      <c r="E246" s="314">
        <v>1.8215827338129496</v>
      </c>
    </row>
    <row r="247" spans="2:5">
      <c r="B247" s="316" t="s">
        <v>132</v>
      </c>
      <c r="C247" s="317" t="s">
        <v>111</v>
      </c>
      <c r="D247" s="318" t="s">
        <v>1060</v>
      </c>
      <c r="E247" s="316">
        <v>3.3539568345323745</v>
      </c>
    </row>
    <row r="248" spans="2:5">
      <c r="B248" s="314" t="s">
        <v>132</v>
      </c>
      <c r="C248" s="315" t="s">
        <v>112</v>
      </c>
      <c r="D248" s="291" t="s">
        <v>1060</v>
      </c>
      <c r="E248" s="314">
        <v>1.1363309352517985</v>
      </c>
    </row>
    <row r="249" spans="2:5">
      <c r="B249" s="316" t="s">
        <v>132</v>
      </c>
      <c r="C249" s="317" t="s">
        <v>113</v>
      </c>
      <c r="D249" s="318" t="s">
        <v>1060</v>
      </c>
      <c r="E249" s="316">
        <v>1.2172661870503596</v>
      </c>
    </row>
    <row r="250" spans="2:5">
      <c r="B250" s="314" t="s">
        <v>132</v>
      </c>
      <c r="C250" s="315" t="s">
        <v>114</v>
      </c>
      <c r="D250" s="291" t="s">
        <v>1060</v>
      </c>
      <c r="E250" s="314">
        <v>2.9654676258992807</v>
      </c>
    </row>
    <row r="251" spans="2:5">
      <c r="B251" s="316" t="s">
        <v>132</v>
      </c>
      <c r="C251" s="317" t="s">
        <v>115</v>
      </c>
      <c r="D251" s="318" t="s">
        <v>1060</v>
      </c>
      <c r="E251" s="316">
        <v>0.95611510791366905</v>
      </c>
    </row>
    <row r="252" spans="2:5">
      <c r="B252" s="314" t="s">
        <v>132</v>
      </c>
      <c r="C252" s="315" t="s">
        <v>116</v>
      </c>
      <c r="D252" s="291" t="s">
        <v>1060</v>
      </c>
      <c r="E252" s="314">
        <v>2.0071942446043165</v>
      </c>
    </row>
    <row r="253" spans="2:5">
      <c r="B253" s="316" t="s">
        <v>132</v>
      </c>
      <c r="C253" s="317" t="s">
        <v>117</v>
      </c>
      <c r="D253" s="318" t="s">
        <v>1060</v>
      </c>
      <c r="E253" s="316">
        <v>1.6618705035971224</v>
      </c>
    </row>
    <row r="254" spans="2:5">
      <c r="B254" s="314" t="s">
        <v>132</v>
      </c>
      <c r="C254" s="315" t="s">
        <v>118</v>
      </c>
      <c r="D254" s="291" t="s">
        <v>1060</v>
      </c>
      <c r="E254" s="314">
        <v>1.0953237410071941</v>
      </c>
    </row>
    <row r="255" spans="2:5">
      <c r="B255" s="316" t="s">
        <v>132</v>
      </c>
      <c r="C255" s="317" t="s">
        <v>119</v>
      </c>
      <c r="D255" s="318" t="s">
        <v>1060</v>
      </c>
      <c r="E255" s="316">
        <v>1.0769784172661871</v>
      </c>
    </row>
    <row r="256" spans="2:5">
      <c r="B256" s="314" t="s">
        <v>132</v>
      </c>
      <c r="C256" s="315" t="s">
        <v>120</v>
      </c>
      <c r="D256" s="291" t="s">
        <v>1060</v>
      </c>
      <c r="E256" s="314">
        <v>1.3370503597122303</v>
      </c>
    </row>
    <row r="257" spans="2:5">
      <c r="B257" s="316" t="s">
        <v>132</v>
      </c>
      <c r="C257" s="317" t="s">
        <v>121</v>
      </c>
      <c r="D257" s="318" t="s">
        <v>1060</v>
      </c>
      <c r="E257" s="316">
        <v>1.4179856115107914</v>
      </c>
    </row>
    <row r="258" spans="2:5">
      <c r="B258" s="314" t="s">
        <v>132</v>
      </c>
      <c r="C258" s="315" t="s">
        <v>122</v>
      </c>
      <c r="D258" s="291" t="s">
        <v>1060</v>
      </c>
      <c r="E258" s="314">
        <v>1.0856115107913669</v>
      </c>
    </row>
    <row r="259" spans="2:5">
      <c r="B259" s="316" t="s">
        <v>132</v>
      </c>
      <c r="C259" s="317" t="s">
        <v>123</v>
      </c>
      <c r="D259" s="318" t="s">
        <v>1060</v>
      </c>
      <c r="E259" s="316">
        <v>1.3964028776978419</v>
      </c>
    </row>
    <row r="260" spans="2:5">
      <c r="B260" s="314" t="s">
        <v>132</v>
      </c>
      <c r="C260" s="315" t="s">
        <v>124</v>
      </c>
      <c r="D260" s="291" t="s">
        <v>1060</v>
      </c>
      <c r="E260" s="314">
        <v>1.7697841726618704</v>
      </c>
    </row>
    <row r="261" spans="2:5">
      <c r="B261" s="316" t="s">
        <v>132</v>
      </c>
      <c r="C261" s="317" t="s">
        <v>125</v>
      </c>
      <c r="D261" s="318" t="s">
        <v>1060</v>
      </c>
      <c r="E261" s="316">
        <v>3.3971223021582735</v>
      </c>
    </row>
    <row r="262" spans="2:5">
      <c r="B262" s="314" t="s">
        <v>132</v>
      </c>
      <c r="C262" s="315" t="s">
        <v>126</v>
      </c>
      <c r="D262" s="291" t="s">
        <v>1060</v>
      </c>
      <c r="E262" s="314">
        <v>1.3187050359712231</v>
      </c>
    </row>
    <row r="263" spans="2:5">
      <c r="B263" s="316" t="s">
        <v>132</v>
      </c>
      <c r="C263" s="317" t="s">
        <v>127</v>
      </c>
      <c r="D263" s="318" t="s">
        <v>1060</v>
      </c>
      <c r="E263" s="316">
        <v>1.0553956834532374</v>
      </c>
    </row>
    <row r="264" spans="2:5">
      <c r="B264" s="314" t="s">
        <v>132</v>
      </c>
      <c r="C264" s="315" t="s">
        <v>128</v>
      </c>
      <c r="D264" s="291" t="s">
        <v>1060</v>
      </c>
      <c r="E264" s="314">
        <v>2.5079136690647483</v>
      </c>
    </row>
    <row r="265" spans="2:5">
      <c r="B265" s="316" t="s">
        <v>132</v>
      </c>
      <c r="C265" s="317" t="s">
        <v>129</v>
      </c>
      <c r="D265" s="318" t="s">
        <v>1060</v>
      </c>
      <c r="E265" s="316">
        <v>1.256115107913669</v>
      </c>
    </row>
    <row r="266" spans="2:5">
      <c r="B266" s="314" t="s">
        <v>132</v>
      </c>
      <c r="C266" s="315" t="s">
        <v>772</v>
      </c>
      <c r="D266" s="291" t="s">
        <v>1060</v>
      </c>
      <c r="E266" s="314">
        <v>1.514723926380368</v>
      </c>
    </row>
    <row r="267" spans="2:5">
      <c r="B267" s="316" t="s">
        <v>132</v>
      </c>
      <c r="C267" s="317" t="s">
        <v>774</v>
      </c>
      <c r="D267" s="318" t="s">
        <v>1060</v>
      </c>
      <c r="E267" s="316">
        <v>2.8785276073619634</v>
      </c>
    </row>
    <row r="268" spans="2:5">
      <c r="B268" s="314" t="s">
        <v>132</v>
      </c>
      <c r="C268" s="315" t="s">
        <v>775</v>
      </c>
      <c r="D268" s="291" t="s">
        <v>1060</v>
      </c>
      <c r="E268" s="314">
        <v>1.1355828220858895</v>
      </c>
    </row>
    <row r="269" spans="2:5">
      <c r="B269" s="316" t="s">
        <v>132</v>
      </c>
      <c r="C269" s="317" t="s">
        <v>773</v>
      </c>
      <c r="D269" s="318" t="s">
        <v>1060</v>
      </c>
      <c r="E269" s="316">
        <v>0.87055214723926377</v>
      </c>
    </row>
    <row r="270" spans="2:5">
      <c r="B270" s="314" t="s">
        <v>132</v>
      </c>
      <c r="C270" s="315" t="s">
        <v>776</v>
      </c>
      <c r="D270" s="291" t="s">
        <v>1060</v>
      </c>
      <c r="E270" s="314">
        <v>2.3447852760736199</v>
      </c>
    </row>
    <row r="271" spans="2:5">
      <c r="B271" s="316" t="s">
        <v>132</v>
      </c>
      <c r="C271" s="317" t="s">
        <v>777</v>
      </c>
      <c r="D271" s="318" t="s">
        <v>1060</v>
      </c>
      <c r="E271" s="316">
        <v>1.2625766871165645</v>
      </c>
    </row>
    <row r="272" spans="2:5">
      <c r="B272" s="314" t="s">
        <v>131</v>
      </c>
      <c r="C272" s="315" t="s">
        <v>133</v>
      </c>
      <c r="D272" s="291" t="s">
        <v>1060</v>
      </c>
      <c r="E272" s="314">
        <v>6.2307692307692308</v>
      </c>
    </row>
    <row r="273" spans="2:5">
      <c r="B273" s="316" t="s">
        <v>131</v>
      </c>
      <c r="C273" s="317" t="s">
        <v>134</v>
      </c>
      <c r="D273" s="318" t="s">
        <v>1060</v>
      </c>
      <c r="E273" s="316">
        <v>2.8846153846153846</v>
      </c>
    </row>
    <row r="274" spans="2:5">
      <c r="B274" s="314" t="s">
        <v>131</v>
      </c>
      <c r="C274" s="315" t="s">
        <v>135</v>
      </c>
      <c r="D274" s="291" t="s">
        <v>1060</v>
      </c>
      <c r="E274" s="314">
        <v>5.0307692307692307</v>
      </c>
    </row>
    <row r="275" spans="2:5">
      <c r="B275" s="316" t="s">
        <v>131</v>
      </c>
      <c r="C275" s="317" t="s">
        <v>136</v>
      </c>
      <c r="D275" s="318" t="s">
        <v>1060</v>
      </c>
      <c r="E275" s="316">
        <v>6.3</v>
      </c>
    </row>
    <row r="276" spans="2:5">
      <c r="B276" s="314" t="s">
        <v>131</v>
      </c>
      <c r="C276" s="315" t="s">
        <v>137</v>
      </c>
      <c r="D276" s="291" t="s">
        <v>1058</v>
      </c>
      <c r="E276" s="314">
        <v>1.79640718562874</v>
      </c>
    </row>
    <row r="277" spans="2:5">
      <c r="B277" s="316" t="s">
        <v>131</v>
      </c>
      <c r="C277" s="317" t="s">
        <v>138</v>
      </c>
      <c r="D277" s="318" t="s">
        <v>1058</v>
      </c>
      <c r="E277" s="316">
        <v>1.7964071856287425</v>
      </c>
    </row>
    <row r="278" spans="2:5">
      <c r="B278" s="314" t="s">
        <v>131</v>
      </c>
      <c r="C278" s="315" t="s">
        <v>139</v>
      </c>
      <c r="D278" s="291" t="s">
        <v>1060</v>
      </c>
      <c r="E278" s="314">
        <v>4.0778443113772456</v>
      </c>
    </row>
    <row r="279" spans="2:5">
      <c r="B279" s="316" t="s">
        <v>92</v>
      </c>
      <c r="C279" s="317" t="s">
        <v>72</v>
      </c>
      <c r="D279" s="318" t="s">
        <v>1060</v>
      </c>
      <c r="E279" s="316">
        <v>40</v>
      </c>
    </row>
    <row r="280" spans="2:5">
      <c r="B280" s="314" t="s">
        <v>131</v>
      </c>
      <c r="C280" s="315" t="s">
        <v>140</v>
      </c>
      <c r="D280" s="291" t="s">
        <v>1060</v>
      </c>
      <c r="E280" s="314">
        <v>3.65748502994012</v>
      </c>
    </row>
    <row r="281" spans="2:5">
      <c r="B281" s="316" t="s">
        <v>92</v>
      </c>
      <c r="C281" s="317" t="s">
        <v>73</v>
      </c>
      <c r="D281" s="318" t="s">
        <v>1060</v>
      </c>
      <c r="E281" s="316">
        <v>36</v>
      </c>
    </row>
    <row r="282" spans="2:5">
      <c r="B282" s="314" t="s">
        <v>131</v>
      </c>
      <c r="C282" s="315" t="s">
        <v>141</v>
      </c>
      <c r="D282" s="291" t="s">
        <v>1060</v>
      </c>
      <c r="E282" s="314">
        <v>2.1772455089820362</v>
      </c>
    </row>
    <row r="283" spans="2:5">
      <c r="B283" s="316" t="s">
        <v>92</v>
      </c>
      <c r="C283" s="317" t="s">
        <v>74</v>
      </c>
      <c r="D283" s="318" t="s">
        <v>1060</v>
      </c>
      <c r="E283" s="316">
        <v>36</v>
      </c>
    </row>
    <row r="284" spans="2:5">
      <c r="B284" s="314" t="s">
        <v>131</v>
      </c>
      <c r="C284" s="315" t="s">
        <v>142</v>
      </c>
      <c r="D284" s="291" t="s">
        <v>1060</v>
      </c>
      <c r="E284" s="314">
        <v>3.2299401197604793</v>
      </c>
    </row>
    <row r="285" spans="2:5">
      <c r="B285" s="316" t="s">
        <v>92</v>
      </c>
      <c r="C285" s="317" t="s">
        <v>75</v>
      </c>
      <c r="D285" s="318" t="s">
        <v>1060</v>
      </c>
      <c r="E285" s="316">
        <v>31</v>
      </c>
    </row>
    <row r="286" spans="2:5">
      <c r="B286" s="314" t="s">
        <v>92</v>
      </c>
      <c r="C286" s="315" t="s">
        <v>76</v>
      </c>
      <c r="D286" s="291" t="s">
        <v>1060</v>
      </c>
      <c r="E286" s="314">
        <v>40</v>
      </c>
    </row>
    <row r="287" spans="2:5">
      <c r="B287" s="316" t="s">
        <v>92</v>
      </c>
      <c r="C287" s="317" t="s">
        <v>77</v>
      </c>
      <c r="D287" s="318" t="s">
        <v>1060</v>
      </c>
      <c r="E287" s="316">
        <v>36</v>
      </c>
    </row>
    <row r="288" spans="2:5">
      <c r="B288" s="314" t="s">
        <v>92</v>
      </c>
      <c r="C288" s="315" t="s">
        <v>78</v>
      </c>
      <c r="D288" s="291" t="s">
        <v>1060</v>
      </c>
      <c r="E288" s="314">
        <v>36</v>
      </c>
    </row>
    <row r="289" spans="2:5">
      <c r="B289" s="316" t="s">
        <v>92</v>
      </c>
      <c r="C289" s="317" t="s">
        <v>79</v>
      </c>
      <c r="D289" s="318" t="s">
        <v>1060</v>
      </c>
      <c r="E289" s="316">
        <v>31</v>
      </c>
    </row>
    <row r="290" spans="2:5">
      <c r="B290" s="314" t="s">
        <v>92</v>
      </c>
      <c r="C290" s="315" t="s">
        <v>80</v>
      </c>
      <c r="D290" s="291" t="s">
        <v>1060</v>
      </c>
      <c r="E290" s="314">
        <v>40</v>
      </c>
    </row>
    <row r="291" spans="2:5">
      <c r="B291" s="316" t="s">
        <v>92</v>
      </c>
      <c r="C291" s="317" t="s">
        <v>81</v>
      </c>
      <c r="D291" s="318" t="s">
        <v>1060</v>
      </c>
      <c r="E291" s="316">
        <v>36</v>
      </c>
    </row>
    <row r="292" spans="2:5">
      <c r="B292" s="314" t="s">
        <v>92</v>
      </c>
      <c r="C292" s="315" t="s">
        <v>82</v>
      </c>
      <c r="D292" s="291" t="s">
        <v>1060</v>
      </c>
      <c r="E292" s="314">
        <v>36</v>
      </c>
    </row>
    <row r="293" spans="2:5">
      <c r="B293" s="316" t="s">
        <v>92</v>
      </c>
      <c r="C293" s="317" t="s">
        <v>83</v>
      </c>
      <c r="D293" s="318" t="s">
        <v>1060</v>
      </c>
      <c r="E293" s="316">
        <v>15.5</v>
      </c>
    </row>
    <row r="294" spans="2:5">
      <c r="B294" s="314" t="s">
        <v>92</v>
      </c>
      <c r="C294" s="315" t="s">
        <v>84</v>
      </c>
      <c r="D294" s="291" t="s">
        <v>1060</v>
      </c>
      <c r="E294" s="314">
        <v>15.5</v>
      </c>
    </row>
    <row r="295" spans="2:5">
      <c r="B295" s="316" t="s">
        <v>92</v>
      </c>
      <c r="C295" s="317" t="s">
        <v>85</v>
      </c>
      <c r="D295" s="318" t="s">
        <v>1060</v>
      </c>
      <c r="E295" s="316">
        <v>40</v>
      </c>
    </row>
    <row r="296" spans="2:5">
      <c r="B296" s="314" t="s">
        <v>92</v>
      </c>
      <c r="C296" s="315" t="s">
        <v>86</v>
      </c>
      <c r="D296" s="291" t="s">
        <v>1060</v>
      </c>
      <c r="E296" s="314">
        <v>36</v>
      </c>
    </row>
    <row r="297" spans="2:5">
      <c r="B297" s="316" t="s">
        <v>92</v>
      </c>
      <c r="C297" s="317" t="s">
        <v>87</v>
      </c>
      <c r="D297" s="318" t="s">
        <v>1060</v>
      </c>
      <c r="E297" s="316">
        <v>36</v>
      </c>
    </row>
    <row r="298" spans="2:5">
      <c r="B298" s="314" t="s">
        <v>92</v>
      </c>
      <c r="C298" s="315" t="s">
        <v>88</v>
      </c>
      <c r="D298" s="291" t="s">
        <v>1060</v>
      </c>
      <c r="E298" s="314">
        <v>15.5</v>
      </c>
    </row>
    <row r="299" spans="2:5">
      <c r="B299" s="316" t="s">
        <v>92</v>
      </c>
      <c r="C299" s="317" t="s">
        <v>89</v>
      </c>
      <c r="D299" s="318" t="s">
        <v>1060</v>
      </c>
      <c r="E299" s="316">
        <v>15.5</v>
      </c>
    </row>
    <row r="300" spans="2:5">
      <c r="B300" s="314" t="s">
        <v>131</v>
      </c>
      <c r="C300" s="315" t="s">
        <v>143</v>
      </c>
      <c r="D300" s="291" t="s">
        <v>1060</v>
      </c>
      <c r="E300" s="314">
        <v>12.162068965517243</v>
      </c>
    </row>
    <row r="301" spans="2:5">
      <c r="B301" s="316" t="s">
        <v>131</v>
      </c>
      <c r="C301" s="317" t="s">
        <v>144</v>
      </c>
      <c r="D301" s="318" t="s">
        <v>1060</v>
      </c>
      <c r="E301" s="316">
        <v>11.758620689655174</v>
      </c>
    </row>
    <row r="302" spans="2:5">
      <c r="B302" s="314" t="s">
        <v>131</v>
      </c>
      <c r="C302" s="315" t="s">
        <v>145</v>
      </c>
      <c r="D302" s="291" t="s">
        <v>1060</v>
      </c>
      <c r="E302" s="314">
        <v>11.93793103448276</v>
      </c>
    </row>
    <row r="303" spans="2:5">
      <c r="B303" s="316" t="s">
        <v>131</v>
      </c>
      <c r="C303" s="317" t="s">
        <v>146</v>
      </c>
      <c r="D303" s="318" t="s">
        <v>1060</v>
      </c>
      <c r="E303" s="316">
        <v>15.573076923076924</v>
      </c>
    </row>
    <row r="304" spans="2:5">
      <c r="B304" s="314" t="s">
        <v>131</v>
      </c>
      <c r="C304" s="315" t="s">
        <v>147</v>
      </c>
      <c r="D304" s="291" t="s">
        <v>1060</v>
      </c>
      <c r="E304" s="314">
        <v>9.9230769230769216</v>
      </c>
    </row>
    <row r="305" spans="2:5">
      <c r="B305" s="316" t="s">
        <v>92</v>
      </c>
      <c r="C305" s="317" t="s">
        <v>90</v>
      </c>
      <c r="D305" s="318" t="s">
        <v>1060</v>
      </c>
      <c r="E305" s="316">
        <v>27</v>
      </c>
    </row>
    <row r="306" spans="2:5">
      <c r="B306" s="314" t="s">
        <v>92</v>
      </c>
      <c r="C306" s="315" t="s">
        <v>91</v>
      </c>
      <c r="D306" s="291" t="s">
        <v>1060</v>
      </c>
      <c r="E306" s="314">
        <v>27</v>
      </c>
    </row>
    <row r="307" spans="2:5">
      <c r="B307" s="316" t="s">
        <v>161</v>
      </c>
      <c r="C307" s="317" t="s">
        <v>153</v>
      </c>
      <c r="D307" s="318" t="s">
        <v>6</v>
      </c>
      <c r="E307" s="316">
        <v>49</v>
      </c>
    </row>
    <row r="308" spans="2:5">
      <c r="B308" s="314" t="s">
        <v>161</v>
      </c>
      <c r="C308" s="315" t="s">
        <v>154</v>
      </c>
      <c r="D308" s="291" t="s">
        <v>6</v>
      </c>
      <c r="E308" s="314">
        <v>49</v>
      </c>
    </row>
    <row r="309" spans="2:5">
      <c r="B309" s="316" t="s">
        <v>161</v>
      </c>
      <c r="C309" s="317" t="s">
        <v>155</v>
      </c>
      <c r="D309" s="318" t="s">
        <v>6</v>
      </c>
      <c r="E309" s="316">
        <v>49</v>
      </c>
    </row>
    <row r="310" spans="2:5">
      <c r="B310" s="314" t="s">
        <v>161</v>
      </c>
      <c r="C310" s="315" t="s">
        <v>156</v>
      </c>
      <c r="D310" s="291" t="s">
        <v>6</v>
      </c>
      <c r="E310" s="314">
        <v>49</v>
      </c>
    </row>
    <row r="311" spans="2:5">
      <c r="B311" s="316" t="s">
        <v>161</v>
      </c>
      <c r="C311" s="317" t="s">
        <v>157</v>
      </c>
      <c r="D311" s="318" t="s">
        <v>6</v>
      </c>
      <c r="E311" s="316">
        <v>49</v>
      </c>
    </row>
    <row r="312" spans="2:5">
      <c r="B312" s="314" t="s">
        <v>161</v>
      </c>
      <c r="C312" s="315" t="s">
        <v>158</v>
      </c>
      <c r="D312" s="291" t="s">
        <v>6</v>
      </c>
      <c r="E312" s="314">
        <v>49</v>
      </c>
    </row>
    <row r="313" spans="2:5">
      <c r="B313" s="316" t="s">
        <v>161</v>
      </c>
      <c r="C313" s="317" t="s">
        <v>159</v>
      </c>
      <c r="D313" s="318" t="s">
        <v>6</v>
      </c>
      <c r="E313" s="316">
        <v>49</v>
      </c>
    </row>
    <row r="314" spans="2:5">
      <c r="B314" s="314" t="s">
        <v>161</v>
      </c>
      <c r="C314" s="315" t="s">
        <v>160</v>
      </c>
      <c r="D314" s="291" t="s">
        <v>6</v>
      </c>
      <c r="E314" s="314">
        <v>49</v>
      </c>
    </row>
    <row r="315" spans="2:5">
      <c r="B315" s="316" t="s">
        <v>60</v>
      </c>
      <c r="C315" s="317" t="s">
        <v>34</v>
      </c>
      <c r="D315" s="318" t="s">
        <v>1060</v>
      </c>
      <c r="E315" s="316">
        <v>140</v>
      </c>
    </row>
    <row r="316" spans="2:5">
      <c r="B316" s="314" t="s">
        <v>60</v>
      </c>
      <c r="C316" s="315" t="s">
        <v>35</v>
      </c>
      <c r="D316" s="291" t="s">
        <v>1060</v>
      </c>
      <c r="E316" s="314">
        <v>140</v>
      </c>
    </row>
    <row r="317" spans="2:5">
      <c r="B317" s="316" t="s">
        <v>272</v>
      </c>
      <c r="C317" s="317" t="s">
        <v>269</v>
      </c>
      <c r="D317" s="318" t="s">
        <v>1060</v>
      </c>
      <c r="E317" s="316">
        <v>35</v>
      </c>
    </row>
    <row r="318" spans="2:5">
      <c r="B318" s="314" t="s">
        <v>1128</v>
      </c>
      <c r="C318" s="315" t="s">
        <v>380</v>
      </c>
      <c r="D318" s="291" t="s">
        <v>1060</v>
      </c>
      <c r="E318" s="314">
        <v>26.7</v>
      </c>
    </row>
    <row r="319" spans="2:5">
      <c r="B319" s="316" t="s">
        <v>272</v>
      </c>
      <c r="C319" s="317" t="s">
        <v>270</v>
      </c>
      <c r="D319" s="318" t="s">
        <v>1060</v>
      </c>
      <c r="E319" s="316">
        <v>35</v>
      </c>
    </row>
    <row r="320" spans="2:5">
      <c r="B320" s="314" t="s">
        <v>272</v>
      </c>
      <c r="C320" s="315" t="s">
        <v>271</v>
      </c>
      <c r="D320" s="291" t="s">
        <v>1060</v>
      </c>
      <c r="E320" s="314">
        <v>108</v>
      </c>
    </row>
    <row r="321" spans="2:5">
      <c r="B321" s="316" t="s">
        <v>1128</v>
      </c>
      <c r="C321" s="317" t="s">
        <v>381</v>
      </c>
      <c r="D321" s="318" t="s">
        <v>1060</v>
      </c>
      <c r="E321" s="316">
        <v>33.14</v>
      </c>
    </row>
    <row r="322" spans="2:5">
      <c r="B322" s="314" t="s">
        <v>1128</v>
      </c>
      <c r="C322" s="315" t="s">
        <v>322</v>
      </c>
      <c r="D322" s="291" t="s">
        <v>1060</v>
      </c>
      <c r="E322" s="314">
        <v>51</v>
      </c>
    </row>
    <row r="323" spans="2:5">
      <c r="B323" s="316" t="s">
        <v>1128</v>
      </c>
      <c r="C323" s="317" t="s">
        <v>323</v>
      </c>
      <c r="D323" s="318" t="s">
        <v>1060</v>
      </c>
      <c r="E323" s="316">
        <v>11.8</v>
      </c>
    </row>
    <row r="324" spans="2:5">
      <c r="B324" s="314" t="s">
        <v>1128</v>
      </c>
      <c r="C324" s="315" t="s">
        <v>324</v>
      </c>
      <c r="D324" s="291" t="s">
        <v>1060</v>
      </c>
      <c r="E324" s="314">
        <v>34</v>
      </c>
    </row>
    <row r="325" spans="2:5">
      <c r="B325" s="316" t="s">
        <v>1128</v>
      </c>
      <c r="C325" s="317" t="s">
        <v>325</v>
      </c>
      <c r="D325" s="318" t="s">
        <v>1060</v>
      </c>
      <c r="E325" s="316">
        <v>26.7</v>
      </c>
    </row>
    <row r="326" spans="2:5">
      <c r="B326" s="314" t="s">
        <v>1128</v>
      </c>
      <c r="C326" s="315" t="s">
        <v>326</v>
      </c>
      <c r="D326" s="291" t="s">
        <v>1060</v>
      </c>
      <c r="E326" s="314">
        <v>37.89473684210526</v>
      </c>
    </row>
    <row r="327" spans="2:5">
      <c r="B327" s="316" t="s">
        <v>1128</v>
      </c>
      <c r="C327" s="317" t="s">
        <v>327</v>
      </c>
      <c r="D327" s="318" t="s">
        <v>1060</v>
      </c>
      <c r="E327" s="316">
        <v>34.95145631067961</v>
      </c>
    </row>
    <row r="328" spans="2:5">
      <c r="B328" s="314" t="s">
        <v>1128</v>
      </c>
      <c r="C328" s="315" t="s">
        <v>328</v>
      </c>
      <c r="D328" s="291" t="s">
        <v>1060</v>
      </c>
      <c r="E328" s="314">
        <v>34.95145631067961</v>
      </c>
    </row>
    <row r="329" spans="2:5">
      <c r="B329" s="316" t="s">
        <v>1128</v>
      </c>
      <c r="C329" s="317" t="s">
        <v>329</v>
      </c>
      <c r="D329" s="318" t="s">
        <v>1060</v>
      </c>
      <c r="E329" s="316">
        <v>34.95145631067961</v>
      </c>
    </row>
    <row r="330" spans="2:5">
      <c r="B330" s="314" t="s">
        <v>1128</v>
      </c>
      <c r="C330" s="315" t="s">
        <v>330</v>
      </c>
      <c r="D330" s="291" t="s">
        <v>1060</v>
      </c>
      <c r="E330" s="314">
        <v>14.9</v>
      </c>
    </row>
    <row r="331" spans="2:5">
      <c r="B331" s="316" t="s">
        <v>1128</v>
      </c>
      <c r="C331" s="317" t="s">
        <v>331</v>
      </c>
      <c r="D331" s="318" t="s">
        <v>1060</v>
      </c>
      <c r="E331" s="316">
        <v>12.3</v>
      </c>
    </row>
    <row r="332" spans="2:5">
      <c r="B332" s="314" t="s">
        <v>1128</v>
      </c>
      <c r="C332" s="315" t="s">
        <v>332</v>
      </c>
      <c r="D332" s="291" t="s">
        <v>1060</v>
      </c>
      <c r="E332" s="314">
        <v>11.8</v>
      </c>
    </row>
    <row r="333" spans="2:5">
      <c r="B333" s="316" t="s">
        <v>1128</v>
      </c>
      <c r="C333" s="317" t="s">
        <v>333</v>
      </c>
      <c r="D333" s="318" t="s">
        <v>1060</v>
      </c>
      <c r="E333" s="316">
        <v>11.1</v>
      </c>
    </row>
    <row r="334" spans="2:5">
      <c r="B334" s="314" t="s">
        <v>1128</v>
      </c>
      <c r="C334" s="315" t="s">
        <v>334</v>
      </c>
      <c r="D334" s="291" t="s">
        <v>1060</v>
      </c>
      <c r="E334" s="314">
        <v>28.4</v>
      </c>
    </row>
    <row r="335" spans="2:5">
      <c r="B335" s="316" t="s">
        <v>1128</v>
      </c>
      <c r="C335" s="317" t="s">
        <v>335</v>
      </c>
      <c r="D335" s="318" t="s">
        <v>1060</v>
      </c>
      <c r="E335" s="316">
        <v>42.5</v>
      </c>
    </row>
    <row r="336" spans="2:5">
      <c r="B336" s="314" t="s">
        <v>1128</v>
      </c>
      <c r="C336" s="315" t="s">
        <v>336</v>
      </c>
      <c r="D336" s="291" t="s">
        <v>1060</v>
      </c>
      <c r="E336" s="314">
        <v>15</v>
      </c>
    </row>
    <row r="337" spans="2:5">
      <c r="B337" s="316" t="s">
        <v>1128</v>
      </c>
      <c r="C337" s="317" t="s">
        <v>337</v>
      </c>
      <c r="D337" s="318" t="s">
        <v>1060</v>
      </c>
      <c r="E337" s="316">
        <v>15</v>
      </c>
    </row>
    <row r="338" spans="2:5">
      <c r="B338" s="314" t="s">
        <v>1128</v>
      </c>
      <c r="C338" s="315" t="s">
        <v>338</v>
      </c>
      <c r="D338" s="291" t="s">
        <v>1060</v>
      </c>
      <c r="E338" s="314">
        <v>12</v>
      </c>
    </row>
    <row r="339" spans="2:5">
      <c r="B339" s="316" t="s">
        <v>1128</v>
      </c>
      <c r="C339" s="317" t="s">
        <v>339</v>
      </c>
      <c r="D339" s="318" t="s">
        <v>1060</v>
      </c>
      <c r="E339" s="316">
        <v>37</v>
      </c>
    </row>
    <row r="340" spans="2:5">
      <c r="B340" s="314" t="s">
        <v>1128</v>
      </c>
      <c r="C340" s="315" t="s">
        <v>340</v>
      </c>
      <c r="D340" s="291" t="s">
        <v>1060</v>
      </c>
      <c r="E340" s="314">
        <v>34</v>
      </c>
    </row>
    <row r="341" spans="2:5">
      <c r="B341" s="316" t="s">
        <v>1128</v>
      </c>
      <c r="C341" s="317" t="s">
        <v>341</v>
      </c>
      <c r="D341" s="318" t="s">
        <v>1060</v>
      </c>
      <c r="E341" s="316">
        <v>30.17</v>
      </c>
    </row>
    <row r="342" spans="2:5">
      <c r="B342" s="314" t="s">
        <v>1128</v>
      </c>
      <c r="C342" s="315" t="s">
        <v>342</v>
      </c>
      <c r="D342" s="291" t="s">
        <v>1060</v>
      </c>
      <c r="E342" s="314">
        <v>30.2</v>
      </c>
    </row>
    <row r="343" spans="2:5">
      <c r="B343" s="316" t="s">
        <v>1128</v>
      </c>
      <c r="C343" s="317" t="s">
        <v>343</v>
      </c>
      <c r="D343" s="318" t="s">
        <v>1060</v>
      </c>
      <c r="E343" s="316">
        <v>29.43</v>
      </c>
    </row>
    <row r="344" spans="2:5">
      <c r="B344" s="314" t="s">
        <v>1128</v>
      </c>
      <c r="C344" s="315" t="s">
        <v>344</v>
      </c>
      <c r="D344" s="291" t="s">
        <v>1060</v>
      </c>
      <c r="E344" s="314">
        <v>21.9</v>
      </c>
    </row>
    <row r="345" spans="2:5">
      <c r="B345" s="316" t="s">
        <v>1128</v>
      </c>
      <c r="C345" s="317" t="s">
        <v>345</v>
      </c>
      <c r="D345" s="318" t="s">
        <v>1060</v>
      </c>
      <c r="E345" s="316">
        <v>21.9</v>
      </c>
    </row>
    <row r="346" spans="2:5">
      <c r="B346" s="314" t="s">
        <v>1128</v>
      </c>
      <c r="C346" s="315" t="s">
        <v>346</v>
      </c>
      <c r="D346" s="291" t="s">
        <v>1060</v>
      </c>
      <c r="E346" s="314">
        <v>20.25</v>
      </c>
    </row>
    <row r="347" spans="2:5">
      <c r="B347" s="316" t="s">
        <v>1128</v>
      </c>
      <c r="C347" s="317" t="s">
        <v>347</v>
      </c>
      <c r="D347" s="318" t="s">
        <v>1060</v>
      </c>
      <c r="E347" s="316">
        <v>20.25</v>
      </c>
    </row>
    <row r="348" spans="2:5">
      <c r="B348" s="314" t="s">
        <v>1128</v>
      </c>
      <c r="C348" s="315" t="s">
        <v>348</v>
      </c>
      <c r="D348" s="291" t="s">
        <v>1060</v>
      </c>
      <c r="E348" s="314">
        <v>34.450000000000003</v>
      </c>
    </row>
    <row r="349" spans="2:5">
      <c r="B349" s="316" t="s">
        <v>1128</v>
      </c>
      <c r="C349" s="317" t="s">
        <v>349</v>
      </c>
      <c r="D349" s="318" t="s">
        <v>1060</v>
      </c>
      <c r="E349" s="316">
        <v>7.2</v>
      </c>
    </row>
    <row r="350" spans="2:5">
      <c r="B350" s="314" t="s">
        <v>1128</v>
      </c>
      <c r="C350" s="315" t="s">
        <v>350</v>
      </c>
      <c r="D350" s="291" t="s">
        <v>1060</v>
      </c>
      <c r="E350" s="314">
        <v>15.154999999999999</v>
      </c>
    </row>
    <row r="351" spans="2:5">
      <c r="B351" s="316" t="s">
        <v>1128</v>
      </c>
      <c r="C351" s="317" t="s">
        <v>351</v>
      </c>
      <c r="D351" s="318" t="s">
        <v>1060</v>
      </c>
      <c r="E351" s="316">
        <v>24</v>
      </c>
    </row>
    <row r="352" spans="2:5">
      <c r="B352" s="314" t="s">
        <v>1128</v>
      </c>
      <c r="C352" s="315" t="s">
        <v>352</v>
      </c>
      <c r="D352" s="291" t="s">
        <v>1060</v>
      </c>
      <c r="E352" s="314">
        <v>7.2</v>
      </c>
    </row>
    <row r="353" spans="2:5">
      <c r="B353" s="316" t="s">
        <v>1128</v>
      </c>
      <c r="C353" s="317" t="s">
        <v>353</v>
      </c>
      <c r="D353" s="318" t="s">
        <v>1060</v>
      </c>
      <c r="E353" s="316">
        <v>34.979999999999997</v>
      </c>
    </row>
    <row r="354" spans="2:5">
      <c r="B354" s="314" t="s">
        <v>1128</v>
      </c>
      <c r="C354" s="315" t="s">
        <v>354</v>
      </c>
      <c r="D354" s="291" t="s">
        <v>1060</v>
      </c>
      <c r="E354" s="314">
        <v>35.479999999999997</v>
      </c>
    </row>
    <row r="355" spans="2:5">
      <c r="B355" s="316" t="s">
        <v>1128</v>
      </c>
      <c r="C355" s="317" t="s">
        <v>355</v>
      </c>
      <c r="D355" s="318" t="s">
        <v>1060</v>
      </c>
      <c r="E355" s="316">
        <v>15.154999999999999</v>
      </c>
    </row>
    <row r="356" spans="2:5">
      <c r="B356" s="314" t="s">
        <v>1128</v>
      </c>
      <c r="C356" s="315" t="s">
        <v>356</v>
      </c>
      <c r="D356" s="291" t="s">
        <v>1060</v>
      </c>
      <c r="E356" s="314">
        <v>28.85</v>
      </c>
    </row>
    <row r="357" spans="2:5">
      <c r="B357" s="316" t="s">
        <v>1128</v>
      </c>
      <c r="C357" s="317" t="s">
        <v>357</v>
      </c>
      <c r="D357" s="318" t="s">
        <v>1060</v>
      </c>
      <c r="E357" s="316">
        <v>14.855</v>
      </c>
    </row>
    <row r="358" spans="2:5">
      <c r="B358" s="314" t="s">
        <v>1128</v>
      </c>
      <c r="C358" s="315" t="s">
        <v>358</v>
      </c>
      <c r="D358" s="291" t="s">
        <v>1060</v>
      </c>
      <c r="E358" s="314">
        <v>34.299999999999997</v>
      </c>
    </row>
    <row r="359" spans="2:5">
      <c r="B359" s="316" t="s">
        <v>1128</v>
      </c>
      <c r="C359" s="317" t="s">
        <v>359</v>
      </c>
      <c r="D359" s="318" t="s">
        <v>1060</v>
      </c>
      <c r="E359" s="316">
        <v>14.855</v>
      </c>
    </row>
    <row r="360" spans="2:5">
      <c r="B360" s="314" t="s">
        <v>1128</v>
      </c>
      <c r="C360" s="315" t="s">
        <v>360</v>
      </c>
      <c r="D360" s="291" t="s">
        <v>1060</v>
      </c>
      <c r="E360" s="314">
        <v>23.4</v>
      </c>
    </row>
    <row r="361" spans="2:5">
      <c r="B361" s="316" t="s">
        <v>1128</v>
      </c>
      <c r="C361" s="317" t="s">
        <v>361</v>
      </c>
      <c r="D361" s="318" t="s">
        <v>1060</v>
      </c>
      <c r="E361" s="316">
        <v>23.4</v>
      </c>
    </row>
    <row r="362" spans="2:5">
      <c r="B362" s="314" t="s">
        <v>1128</v>
      </c>
      <c r="C362" s="315" t="s">
        <v>362</v>
      </c>
      <c r="D362" s="291" t="s">
        <v>1060</v>
      </c>
      <c r="E362" s="314">
        <v>21.155000000000001</v>
      </c>
    </row>
    <row r="363" spans="2:5">
      <c r="B363" s="316" t="s">
        <v>1128</v>
      </c>
      <c r="C363" s="317" t="s">
        <v>363</v>
      </c>
      <c r="D363" s="318" t="s">
        <v>1060</v>
      </c>
      <c r="E363" s="316">
        <v>21.155000000000001</v>
      </c>
    </row>
    <row r="364" spans="2:5">
      <c r="B364" s="314" t="s">
        <v>1128</v>
      </c>
      <c r="C364" s="315" t="s">
        <v>364</v>
      </c>
      <c r="D364" s="291" t="s">
        <v>1060</v>
      </c>
      <c r="E364" s="314">
        <v>20.56</v>
      </c>
    </row>
    <row r="365" spans="2:5">
      <c r="B365" s="316" t="s">
        <v>1128</v>
      </c>
      <c r="C365" s="317" t="s">
        <v>365</v>
      </c>
      <c r="D365" s="318" t="s">
        <v>1060</v>
      </c>
      <c r="E365" s="316">
        <v>20.56</v>
      </c>
    </row>
    <row r="366" spans="2:5">
      <c r="B366" s="314" t="s">
        <v>1128</v>
      </c>
      <c r="C366" s="315" t="s">
        <v>768</v>
      </c>
      <c r="D366" s="291" t="s">
        <v>1060</v>
      </c>
      <c r="E366" s="314">
        <v>44.65</v>
      </c>
    </row>
    <row r="367" spans="2:5">
      <c r="B367" s="316" t="s">
        <v>1128</v>
      </c>
      <c r="C367" s="317" t="s">
        <v>769</v>
      </c>
      <c r="D367" s="318" t="s">
        <v>1060</v>
      </c>
      <c r="E367" s="316">
        <v>34.5</v>
      </c>
    </row>
    <row r="368" spans="2:5">
      <c r="B368" s="314" t="s">
        <v>1128</v>
      </c>
      <c r="C368" s="315" t="s">
        <v>770</v>
      </c>
      <c r="D368" s="291" t="s">
        <v>1060</v>
      </c>
      <c r="E368" s="314">
        <v>33</v>
      </c>
    </row>
    <row r="369" spans="2:5">
      <c r="B369" s="316" t="s">
        <v>1128</v>
      </c>
      <c r="C369" s="317" t="s">
        <v>778</v>
      </c>
      <c r="D369" s="318" t="s">
        <v>1060</v>
      </c>
      <c r="E369" s="316">
        <v>22.9</v>
      </c>
    </row>
    <row r="370" spans="2:5">
      <c r="B370" s="314" t="s">
        <v>1128</v>
      </c>
      <c r="C370" s="315" t="s">
        <v>779</v>
      </c>
      <c r="D370" s="291" t="s">
        <v>1060</v>
      </c>
      <c r="E370" s="314">
        <v>22.9</v>
      </c>
    </row>
    <row r="371" spans="2:5">
      <c r="B371" s="316" t="s">
        <v>1128</v>
      </c>
      <c r="C371" s="317" t="s">
        <v>834</v>
      </c>
      <c r="D371" s="318" t="s">
        <v>1060</v>
      </c>
      <c r="E371" s="316">
        <v>29</v>
      </c>
    </row>
    <row r="372" spans="2:5">
      <c r="B372" s="314" t="s">
        <v>1128</v>
      </c>
      <c r="C372" s="315" t="s">
        <v>1037</v>
      </c>
      <c r="D372" s="291" t="s">
        <v>1060</v>
      </c>
      <c r="E372" s="314">
        <v>32.200000000000003</v>
      </c>
    </row>
    <row r="373" spans="2:5">
      <c r="B373" s="316" t="s">
        <v>1128</v>
      </c>
      <c r="C373" s="317" t="s">
        <v>1033</v>
      </c>
      <c r="D373" s="318" t="s">
        <v>1060</v>
      </c>
      <c r="E373" s="316">
        <v>14.5</v>
      </c>
    </row>
    <row r="374" spans="2:5">
      <c r="B374" s="314" t="s">
        <v>1128</v>
      </c>
      <c r="C374" s="315" t="s">
        <v>1035</v>
      </c>
      <c r="D374" s="291" t="s">
        <v>1060</v>
      </c>
      <c r="E374" s="314">
        <v>15</v>
      </c>
    </row>
    <row r="375" spans="2:5">
      <c r="B375" s="316" t="s">
        <v>1128</v>
      </c>
      <c r="C375" s="317" t="s">
        <v>1036</v>
      </c>
      <c r="D375" s="318" t="s">
        <v>1060</v>
      </c>
      <c r="E375" s="316">
        <v>15</v>
      </c>
    </row>
    <row r="376" spans="2:5">
      <c r="B376" s="314" t="s">
        <v>1128</v>
      </c>
      <c r="C376" s="315" t="s">
        <v>1034</v>
      </c>
      <c r="D376" s="291" t="s">
        <v>1060</v>
      </c>
      <c r="E376" s="314">
        <v>15</v>
      </c>
    </row>
    <row r="377" spans="2:5">
      <c r="B377" s="316" t="s">
        <v>1128</v>
      </c>
      <c r="C377" s="317" t="s">
        <v>366</v>
      </c>
      <c r="D377" s="318" t="s">
        <v>1060</v>
      </c>
      <c r="E377" s="316">
        <v>21.45</v>
      </c>
    </row>
    <row r="378" spans="2:5">
      <c r="B378" s="314" t="s">
        <v>1128</v>
      </c>
      <c r="C378" s="315" t="s">
        <v>367</v>
      </c>
      <c r="D378" s="291" t="s">
        <v>1060</v>
      </c>
      <c r="E378" s="314">
        <v>29.27</v>
      </c>
    </row>
    <row r="379" spans="2:5">
      <c r="B379" s="316" t="s">
        <v>1128</v>
      </c>
      <c r="C379" s="317" t="s">
        <v>368</v>
      </c>
      <c r="D379" s="318" t="s">
        <v>1060</v>
      </c>
      <c r="E379" s="316">
        <v>31.29</v>
      </c>
    </row>
    <row r="380" spans="2:5">
      <c r="B380" s="314" t="s">
        <v>1128</v>
      </c>
      <c r="C380" s="315" t="s">
        <v>369</v>
      </c>
      <c r="D380" s="291" t="s">
        <v>1060</v>
      </c>
      <c r="E380" s="314">
        <v>28.3</v>
      </c>
    </row>
    <row r="381" spans="2:5">
      <c r="B381" s="316" t="s">
        <v>1128</v>
      </c>
      <c r="C381" s="317" t="s">
        <v>370</v>
      </c>
      <c r="D381" s="318" t="s">
        <v>1060</v>
      </c>
      <c r="E381" s="316">
        <v>10.1</v>
      </c>
    </row>
    <row r="382" spans="2:5">
      <c r="B382" s="314" t="s">
        <v>1128</v>
      </c>
      <c r="C382" s="315" t="s">
        <v>371</v>
      </c>
      <c r="D382" s="291" t="s">
        <v>1060</v>
      </c>
      <c r="E382" s="314">
        <v>10.1</v>
      </c>
    </row>
    <row r="383" spans="2:5">
      <c r="B383" s="316" t="s">
        <v>1128</v>
      </c>
      <c r="C383" s="317" t="s">
        <v>372</v>
      </c>
      <c r="D383" s="318" t="s">
        <v>1060</v>
      </c>
      <c r="E383" s="316">
        <v>33.14</v>
      </c>
    </row>
    <row r="384" spans="2:5">
      <c r="B384" s="314" t="s">
        <v>1128</v>
      </c>
      <c r="C384" s="315" t="s">
        <v>373</v>
      </c>
      <c r="D384" s="291" t="s">
        <v>1060</v>
      </c>
      <c r="E384" s="314">
        <v>32.92</v>
      </c>
    </row>
    <row r="385" spans="2:5">
      <c r="B385" s="316" t="s">
        <v>1128</v>
      </c>
      <c r="C385" s="317" t="s">
        <v>374</v>
      </c>
      <c r="D385" s="318" t="s">
        <v>1060</v>
      </c>
      <c r="E385" s="316">
        <v>16.5</v>
      </c>
    </row>
    <row r="386" spans="2:5">
      <c r="B386" s="314" t="s">
        <v>1128</v>
      </c>
      <c r="C386" s="315" t="s">
        <v>375</v>
      </c>
      <c r="D386" s="291" t="s">
        <v>1060</v>
      </c>
      <c r="E386" s="314">
        <v>16.5</v>
      </c>
    </row>
    <row r="387" spans="2:5">
      <c r="B387" s="316" t="s">
        <v>1128</v>
      </c>
      <c r="C387" s="317" t="s">
        <v>376</v>
      </c>
      <c r="D387" s="318" t="s">
        <v>1060</v>
      </c>
      <c r="E387" s="316">
        <v>19.100000000000001</v>
      </c>
    </row>
    <row r="388" spans="2:5">
      <c r="B388" s="314" t="s">
        <v>1128</v>
      </c>
      <c r="C388" s="315" t="s">
        <v>377</v>
      </c>
      <c r="D388" s="291" t="s">
        <v>1060</v>
      </c>
      <c r="E388" s="314">
        <v>19.100000000000001</v>
      </c>
    </row>
    <row r="389" spans="2:5">
      <c r="B389" s="316" t="s">
        <v>1128</v>
      </c>
      <c r="C389" s="317" t="s">
        <v>378</v>
      </c>
      <c r="D389" s="318" t="s">
        <v>1060</v>
      </c>
      <c r="E389" s="316">
        <v>18</v>
      </c>
    </row>
    <row r="390" spans="2:5">
      <c r="B390" s="314" t="s">
        <v>1128</v>
      </c>
      <c r="C390" s="315" t="s">
        <v>379</v>
      </c>
      <c r="D390" s="291" t="s">
        <v>1060</v>
      </c>
      <c r="E390" s="314">
        <v>18</v>
      </c>
    </row>
    <row r="391" spans="2:5">
      <c r="B391" s="316" t="s">
        <v>273</v>
      </c>
      <c r="C391" s="317" t="s">
        <v>274</v>
      </c>
      <c r="D391" s="318" t="s">
        <v>1060</v>
      </c>
      <c r="E391" s="316">
        <v>140</v>
      </c>
    </row>
    <row r="392" spans="2:5">
      <c r="B392" s="314" t="s">
        <v>273</v>
      </c>
      <c r="C392" s="315" t="s">
        <v>275</v>
      </c>
      <c r="D392" s="291" t="s">
        <v>1060</v>
      </c>
      <c r="E392" s="314">
        <v>72</v>
      </c>
    </row>
    <row r="393" spans="2:5">
      <c r="B393" s="316" t="s">
        <v>273</v>
      </c>
      <c r="C393" s="317" t="s">
        <v>276</v>
      </c>
      <c r="D393" s="318" t="s">
        <v>1060</v>
      </c>
      <c r="E393" s="316">
        <v>115</v>
      </c>
    </row>
    <row r="394" spans="2:5">
      <c r="B394" s="314" t="s">
        <v>273</v>
      </c>
      <c r="C394" s="315" t="s">
        <v>277</v>
      </c>
      <c r="D394" s="291" t="s">
        <v>1060</v>
      </c>
      <c r="E394" s="314">
        <v>61</v>
      </c>
    </row>
    <row r="395" spans="2:5">
      <c r="B395" s="316" t="s">
        <v>273</v>
      </c>
      <c r="C395" s="317" t="s">
        <v>278</v>
      </c>
      <c r="D395" s="318" t="s">
        <v>1060</v>
      </c>
      <c r="E395" s="316">
        <v>48</v>
      </c>
    </row>
    <row r="396" spans="2:5">
      <c r="B396" s="314" t="s">
        <v>273</v>
      </c>
      <c r="C396" s="315" t="s">
        <v>279</v>
      </c>
      <c r="D396" s="291" t="s">
        <v>1060</v>
      </c>
      <c r="E396" s="314">
        <v>48</v>
      </c>
    </row>
    <row r="397" spans="2:5">
      <c r="B397" s="316" t="s">
        <v>273</v>
      </c>
      <c r="C397" s="317" t="s">
        <v>280</v>
      </c>
      <c r="D397" s="318" t="s">
        <v>1060</v>
      </c>
      <c r="E397" s="316">
        <v>48</v>
      </c>
    </row>
    <row r="398" spans="2:5">
      <c r="B398" s="314" t="s">
        <v>273</v>
      </c>
      <c r="C398" s="315" t="s">
        <v>281</v>
      </c>
      <c r="D398" s="291" t="s">
        <v>1060</v>
      </c>
      <c r="E398" s="314">
        <v>48</v>
      </c>
    </row>
    <row r="399" spans="2:5">
      <c r="B399" s="316" t="s">
        <v>273</v>
      </c>
      <c r="C399" s="317" t="s">
        <v>282</v>
      </c>
      <c r="D399" s="318" t="s">
        <v>1060</v>
      </c>
      <c r="E399" s="316">
        <v>14</v>
      </c>
    </row>
    <row r="400" spans="2:5">
      <c r="B400" s="314" t="s">
        <v>273</v>
      </c>
      <c r="C400" s="315" t="s">
        <v>283</v>
      </c>
      <c r="D400" s="291" t="s">
        <v>1060</v>
      </c>
      <c r="E400" s="314">
        <v>11</v>
      </c>
    </row>
    <row r="401" spans="2:5">
      <c r="B401" s="316" t="s">
        <v>273</v>
      </c>
      <c r="C401" s="317" t="s">
        <v>284</v>
      </c>
      <c r="D401" s="318" t="s">
        <v>1060</v>
      </c>
      <c r="E401" s="316">
        <v>15</v>
      </c>
    </row>
    <row r="402" spans="2:5">
      <c r="B402" s="314" t="s">
        <v>273</v>
      </c>
      <c r="C402" s="315" t="s">
        <v>285</v>
      </c>
      <c r="D402" s="291" t="s">
        <v>1060</v>
      </c>
      <c r="E402" s="314">
        <v>37</v>
      </c>
    </row>
    <row r="403" spans="2:5">
      <c r="B403" s="316" t="s">
        <v>273</v>
      </c>
      <c r="C403" s="317" t="s">
        <v>1130</v>
      </c>
      <c r="D403" s="318" t="s">
        <v>1060</v>
      </c>
      <c r="E403" s="316">
        <v>26</v>
      </c>
    </row>
    <row r="404" spans="2:5">
      <c r="B404" s="314" t="s">
        <v>273</v>
      </c>
      <c r="C404" s="315" t="s">
        <v>286</v>
      </c>
      <c r="D404" s="291" t="s">
        <v>1060</v>
      </c>
      <c r="E404" s="314">
        <v>20</v>
      </c>
    </row>
    <row r="405" spans="2:5">
      <c r="B405" s="316" t="s">
        <v>273</v>
      </c>
      <c r="C405" s="317" t="s">
        <v>1131</v>
      </c>
      <c r="D405" s="318" t="s">
        <v>1060</v>
      </c>
      <c r="E405" s="316">
        <v>65</v>
      </c>
    </row>
    <row r="406" spans="2:5">
      <c r="B406" s="314" t="s">
        <v>273</v>
      </c>
      <c r="C406" s="315" t="s">
        <v>287</v>
      </c>
      <c r="D406" s="291" t="s">
        <v>1060</v>
      </c>
      <c r="E406" s="314">
        <v>8</v>
      </c>
    </row>
    <row r="407" spans="2:5">
      <c r="B407" s="316" t="s">
        <v>273</v>
      </c>
      <c r="C407" s="317" t="s">
        <v>288</v>
      </c>
      <c r="D407" s="318" t="s">
        <v>1060</v>
      </c>
      <c r="E407" s="316">
        <v>6</v>
      </c>
    </row>
    <row r="408" spans="2:5">
      <c r="B408" s="314" t="s">
        <v>273</v>
      </c>
      <c r="C408" s="315" t="s">
        <v>289</v>
      </c>
      <c r="D408" s="291" t="s">
        <v>1060</v>
      </c>
      <c r="E408" s="314">
        <v>5</v>
      </c>
    </row>
    <row r="409" spans="2:5">
      <c r="B409" s="316" t="s">
        <v>273</v>
      </c>
      <c r="C409" s="317" t="s">
        <v>290</v>
      </c>
      <c r="D409" s="318" t="s">
        <v>1060</v>
      </c>
      <c r="E409" s="316">
        <v>44</v>
      </c>
    </row>
    <row r="410" spans="2:5">
      <c r="B410" s="314" t="s">
        <v>273</v>
      </c>
      <c r="C410" s="315" t="s">
        <v>291</v>
      </c>
      <c r="D410" s="291" t="s">
        <v>1060</v>
      </c>
      <c r="E410" s="314">
        <v>21</v>
      </c>
    </row>
    <row r="411" spans="2:5">
      <c r="B411" s="316" t="s">
        <v>273</v>
      </c>
      <c r="C411" s="317" t="s">
        <v>292</v>
      </c>
      <c r="D411" s="318" t="s">
        <v>1060</v>
      </c>
      <c r="E411" s="316">
        <v>15</v>
      </c>
    </row>
    <row r="412" spans="2:5">
      <c r="B412" s="314" t="s">
        <v>273</v>
      </c>
      <c r="C412" s="315" t="s">
        <v>293</v>
      </c>
      <c r="D412" s="291" t="s">
        <v>1060</v>
      </c>
      <c r="E412" s="314">
        <v>115</v>
      </c>
    </row>
    <row r="413" spans="2:5">
      <c r="B413" s="316" t="s">
        <v>273</v>
      </c>
      <c r="C413" s="317" t="s">
        <v>294</v>
      </c>
      <c r="D413" s="318" t="s">
        <v>1060</v>
      </c>
      <c r="E413" s="316">
        <v>61</v>
      </c>
    </row>
    <row r="414" spans="2:5">
      <c r="B414" s="314" t="s">
        <v>273</v>
      </c>
      <c r="C414" s="315" t="s">
        <v>295</v>
      </c>
      <c r="D414" s="291" t="s">
        <v>1060</v>
      </c>
      <c r="E414" s="314">
        <v>46</v>
      </c>
    </row>
    <row r="415" spans="2:5">
      <c r="B415" s="316" t="s">
        <v>273</v>
      </c>
      <c r="C415" s="317" t="s">
        <v>296</v>
      </c>
      <c r="D415" s="318" t="s">
        <v>1060</v>
      </c>
      <c r="E415" s="316">
        <v>38</v>
      </c>
    </row>
    <row r="416" spans="2:5">
      <c r="B416" s="314" t="s">
        <v>273</v>
      </c>
      <c r="C416" s="315" t="s">
        <v>297</v>
      </c>
      <c r="D416" s="291" t="s">
        <v>1060</v>
      </c>
      <c r="E416" s="314">
        <v>38</v>
      </c>
    </row>
    <row r="417" spans="2:5">
      <c r="B417" s="316" t="s">
        <v>273</v>
      </c>
      <c r="C417" s="317" t="s">
        <v>298</v>
      </c>
      <c r="D417" s="318" t="s">
        <v>1060</v>
      </c>
      <c r="E417" s="316">
        <v>18</v>
      </c>
    </row>
    <row r="418" spans="2:5">
      <c r="B418" s="314" t="s">
        <v>273</v>
      </c>
      <c r="C418" s="315" t="s">
        <v>299</v>
      </c>
      <c r="D418" s="291" t="s">
        <v>1060</v>
      </c>
      <c r="E418" s="314">
        <v>40</v>
      </c>
    </row>
    <row r="419" spans="2:5">
      <c r="B419" s="316" t="s">
        <v>273</v>
      </c>
      <c r="C419" s="317" t="s">
        <v>300</v>
      </c>
      <c r="D419" s="318" t="s">
        <v>1060</v>
      </c>
      <c r="E419" s="316">
        <v>48</v>
      </c>
    </row>
    <row r="420" spans="2:5">
      <c r="B420" s="314" t="s">
        <v>273</v>
      </c>
      <c r="C420" s="315" t="s">
        <v>301</v>
      </c>
      <c r="D420" s="291" t="s">
        <v>1060</v>
      </c>
      <c r="E420" s="314">
        <v>40</v>
      </c>
    </row>
    <row r="421" spans="2:5">
      <c r="B421" s="316" t="s">
        <v>273</v>
      </c>
      <c r="C421" s="317" t="s">
        <v>302</v>
      </c>
      <c r="D421" s="318" t="s">
        <v>1060</v>
      </c>
      <c r="E421" s="316">
        <v>40</v>
      </c>
    </row>
    <row r="422" spans="2:5">
      <c r="B422" s="314" t="s">
        <v>273</v>
      </c>
      <c r="C422" s="315" t="s">
        <v>303</v>
      </c>
      <c r="D422" s="291" t="s">
        <v>1060</v>
      </c>
      <c r="E422" s="314">
        <v>36</v>
      </c>
    </row>
    <row r="423" spans="2:5">
      <c r="B423" s="316" t="s">
        <v>273</v>
      </c>
      <c r="C423" s="317" t="s">
        <v>304</v>
      </c>
      <c r="D423" s="318" t="s">
        <v>1060</v>
      </c>
      <c r="E423" s="316">
        <v>2</v>
      </c>
    </row>
    <row r="424" spans="2:5">
      <c r="B424" s="314" t="s">
        <v>273</v>
      </c>
      <c r="C424" s="315" t="s">
        <v>305</v>
      </c>
      <c r="D424" s="291" t="s">
        <v>1060</v>
      </c>
      <c r="E424" s="314">
        <v>6</v>
      </c>
    </row>
    <row r="425" spans="2:5">
      <c r="B425" s="316" t="s">
        <v>273</v>
      </c>
      <c r="C425" s="317" t="s">
        <v>306</v>
      </c>
      <c r="D425" s="318" t="s">
        <v>1060</v>
      </c>
      <c r="E425" s="316">
        <v>13</v>
      </c>
    </row>
    <row r="426" spans="2:5">
      <c r="B426" s="314" t="s">
        <v>273</v>
      </c>
      <c r="C426" s="315" t="s">
        <v>307</v>
      </c>
      <c r="D426" s="291" t="s">
        <v>1060</v>
      </c>
      <c r="E426" s="314">
        <v>2</v>
      </c>
    </row>
    <row r="427" spans="2:5">
      <c r="B427" s="316" t="s">
        <v>273</v>
      </c>
      <c r="C427" s="317" t="s">
        <v>308</v>
      </c>
      <c r="D427" s="318" t="s">
        <v>1060</v>
      </c>
      <c r="E427" s="316">
        <v>19</v>
      </c>
    </row>
    <row r="428" spans="2:5">
      <c r="B428" s="314" t="s">
        <v>273</v>
      </c>
      <c r="C428" s="315" t="s">
        <v>309</v>
      </c>
      <c r="D428" s="291" t="s">
        <v>1060</v>
      </c>
      <c r="E428" s="314">
        <v>12</v>
      </c>
    </row>
    <row r="429" spans="2:5">
      <c r="B429" s="316" t="s">
        <v>273</v>
      </c>
      <c r="C429" s="317" t="s">
        <v>310</v>
      </c>
      <c r="D429" s="318" t="s">
        <v>1060</v>
      </c>
      <c r="E429" s="316">
        <v>6</v>
      </c>
    </row>
    <row r="430" spans="2:5">
      <c r="B430" s="314" t="s">
        <v>273</v>
      </c>
      <c r="C430" s="315" t="s">
        <v>311</v>
      </c>
      <c r="D430" s="291" t="s">
        <v>1060</v>
      </c>
      <c r="E430" s="314">
        <v>22</v>
      </c>
    </row>
    <row r="431" spans="2:5">
      <c r="B431" s="316" t="s">
        <v>273</v>
      </c>
      <c r="C431" s="317" t="s">
        <v>312</v>
      </c>
      <c r="D431" s="318" t="s">
        <v>1060</v>
      </c>
      <c r="E431" s="316">
        <v>2</v>
      </c>
    </row>
    <row r="432" spans="2:5">
      <c r="B432" s="314" t="s">
        <v>273</v>
      </c>
      <c r="C432" s="315" t="s">
        <v>313</v>
      </c>
      <c r="D432" s="291" t="s">
        <v>1060</v>
      </c>
      <c r="E432" s="314">
        <v>21</v>
      </c>
    </row>
    <row r="433" spans="2:5">
      <c r="B433" s="316" t="s">
        <v>273</v>
      </c>
      <c r="C433" s="317" t="s">
        <v>314</v>
      </c>
      <c r="D433" s="318" t="s">
        <v>1060</v>
      </c>
      <c r="E433" s="316">
        <v>2</v>
      </c>
    </row>
    <row r="434" spans="2:5">
      <c r="B434" s="314" t="s">
        <v>273</v>
      </c>
      <c r="C434" s="315" t="s">
        <v>315</v>
      </c>
      <c r="D434" s="291" t="s">
        <v>1060</v>
      </c>
      <c r="E434" s="314">
        <v>15</v>
      </c>
    </row>
    <row r="435" spans="2:5">
      <c r="B435" s="316" t="s">
        <v>273</v>
      </c>
      <c r="C435" s="317" t="s">
        <v>316</v>
      </c>
      <c r="D435" s="318" t="s">
        <v>1060</v>
      </c>
      <c r="E435" s="316">
        <v>15</v>
      </c>
    </row>
    <row r="436" spans="2:5">
      <c r="B436" s="314" t="s">
        <v>273</v>
      </c>
      <c r="C436" s="315" t="s">
        <v>317</v>
      </c>
      <c r="D436" s="291" t="s">
        <v>1060</v>
      </c>
      <c r="E436" s="314">
        <v>18</v>
      </c>
    </row>
    <row r="437" spans="2:5">
      <c r="B437" s="316" t="s">
        <v>273</v>
      </c>
      <c r="C437" s="317" t="s">
        <v>318</v>
      </c>
      <c r="D437" s="318" t="s">
        <v>1060</v>
      </c>
      <c r="E437" s="316">
        <v>20</v>
      </c>
    </row>
    <row r="438" spans="2:5">
      <c r="B438" s="314" t="s">
        <v>273</v>
      </c>
      <c r="C438" s="315" t="s">
        <v>319</v>
      </c>
      <c r="D438" s="291" t="s">
        <v>1060</v>
      </c>
      <c r="E438" s="314">
        <v>24</v>
      </c>
    </row>
    <row r="439" spans="2:5">
      <c r="B439" s="316" t="s">
        <v>273</v>
      </c>
      <c r="C439" s="317" t="s">
        <v>320</v>
      </c>
      <c r="D439" s="318" t="s">
        <v>1060</v>
      </c>
      <c r="E439" s="316">
        <v>24</v>
      </c>
    </row>
    <row r="440" spans="2:5">
      <c r="B440" s="314" t="s">
        <v>273</v>
      </c>
      <c r="C440" s="315" t="s">
        <v>771</v>
      </c>
      <c r="D440" s="291" t="s">
        <v>1060</v>
      </c>
      <c r="E440" s="314">
        <v>31</v>
      </c>
    </row>
    <row r="441" spans="2:5">
      <c r="B441" s="316" t="s">
        <v>273</v>
      </c>
      <c r="C441" s="317" t="s">
        <v>826</v>
      </c>
      <c r="D441" s="318" t="s">
        <v>1060</v>
      </c>
      <c r="E441" s="316">
        <v>46</v>
      </c>
    </row>
    <row r="442" spans="2:5">
      <c r="B442" s="314" t="s">
        <v>273</v>
      </c>
      <c r="C442" s="315" t="s">
        <v>827</v>
      </c>
      <c r="D442" s="291" t="s">
        <v>1060</v>
      </c>
      <c r="E442" s="314">
        <v>7</v>
      </c>
    </row>
    <row r="443" spans="2:5">
      <c r="B443" s="316" t="s">
        <v>273</v>
      </c>
      <c r="C443" s="317" t="s">
        <v>828</v>
      </c>
      <c r="D443" s="318" t="s">
        <v>1060</v>
      </c>
      <c r="E443" s="316">
        <v>7</v>
      </c>
    </row>
    <row r="444" spans="2:5">
      <c r="B444" s="314" t="s">
        <v>273</v>
      </c>
      <c r="C444" s="315" t="s">
        <v>829</v>
      </c>
      <c r="D444" s="291" t="s">
        <v>1060</v>
      </c>
      <c r="E444" s="314">
        <v>48</v>
      </c>
    </row>
    <row r="445" spans="2:5">
      <c r="B445" s="316" t="s">
        <v>273</v>
      </c>
      <c r="C445" s="317" t="s">
        <v>830</v>
      </c>
      <c r="D445" s="318" t="s">
        <v>1060</v>
      </c>
      <c r="E445" s="316">
        <v>6</v>
      </c>
    </row>
    <row r="446" spans="2:5">
      <c r="B446" s="314" t="s">
        <v>273</v>
      </c>
      <c r="C446" s="315" t="s">
        <v>831</v>
      </c>
      <c r="D446" s="291" t="s">
        <v>1060</v>
      </c>
      <c r="E446" s="314">
        <v>2</v>
      </c>
    </row>
    <row r="447" spans="2:5">
      <c r="B447" s="316" t="s">
        <v>273</v>
      </c>
      <c r="C447" s="317" t="s">
        <v>832</v>
      </c>
      <c r="D447" s="318" t="s">
        <v>1060</v>
      </c>
      <c r="E447" s="316">
        <v>25</v>
      </c>
    </row>
    <row r="448" spans="2:5">
      <c r="B448" s="314" t="s">
        <v>273</v>
      </c>
      <c r="C448" s="315" t="s">
        <v>833</v>
      </c>
      <c r="D448" s="291" t="s">
        <v>1060</v>
      </c>
      <c r="E448" s="314">
        <v>25</v>
      </c>
    </row>
    <row r="449" spans="2:5">
      <c r="B449" s="316" t="s">
        <v>273</v>
      </c>
      <c r="C449" s="317" t="s">
        <v>851</v>
      </c>
      <c r="D449" s="318" t="s">
        <v>1060</v>
      </c>
      <c r="E449" s="316">
        <v>38</v>
      </c>
    </row>
    <row r="450" spans="2:5">
      <c r="B450" s="314" t="s">
        <v>273</v>
      </c>
      <c r="C450" s="315" t="s">
        <v>852</v>
      </c>
      <c r="D450" s="291" t="s">
        <v>1060</v>
      </c>
      <c r="E450" s="314">
        <v>38</v>
      </c>
    </row>
    <row r="451" spans="2:5">
      <c r="B451" s="316" t="s">
        <v>273</v>
      </c>
      <c r="C451" s="317" t="s">
        <v>853</v>
      </c>
      <c r="D451" s="318" t="s">
        <v>1060</v>
      </c>
      <c r="E451" s="316">
        <v>40</v>
      </c>
    </row>
    <row r="452" spans="2:5">
      <c r="B452" s="314" t="s">
        <v>273</v>
      </c>
      <c r="C452" s="315" t="s">
        <v>854</v>
      </c>
      <c r="D452" s="291" t="s">
        <v>1060</v>
      </c>
      <c r="E452" s="314">
        <v>48</v>
      </c>
    </row>
    <row r="453" spans="2:5">
      <c r="B453" s="316" t="s">
        <v>273</v>
      </c>
      <c r="C453" s="317" t="s">
        <v>855</v>
      </c>
      <c r="D453" s="318" t="s">
        <v>1060</v>
      </c>
      <c r="E453" s="316">
        <v>40</v>
      </c>
    </row>
    <row r="454" spans="2:5">
      <c r="B454" s="314" t="s">
        <v>273</v>
      </c>
      <c r="C454" s="315" t="s">
        <v>856</v>
      </c>
      <c r="D454" s="291" t="s">
        <v>1060</v>
      </c>
      <c r="E454" s="314">
        <v>40</v>
      </c>
    </row>
    <row r="455" spans="2:5">
      <c r="B455" s="316" t="s">
        <v>273</v>
      </c>
      <c r="C455" s="317" t="s">
        <v>1038</v>
      </c>
      <c r="D455" s="318" t="s">
        <v>1060</v>
      </c>
      <c r="E455" s="316">
        <v>17</v>
      </c>
    </row>
    <row r="456" spans="2:5">
      <c r="B456" s="314" t="s">
        <v>197</v>
      </c>
      <c r="C456" s="315" t="s">
        <v>986</v>
      </c>
      <c r="D456" s="291" t="s">
        <v>1060</v>
      </c>
      <c r="E456" s="314">
        <v>20</v>
      </c>
    </row>
    <row r="457" spans="2:5">
      <c r="B457" s="316" t="s">
        <v>197</v>
      </c>
      <c r="C457" s="317" t="s">
        <v>987</v>
      </c>
      <c r="D457" s="318" t="s">
        <v>1060</v>
      </c>
      <c r="E457" s="316">
        <v>20</v>
      </c>
    </row>
    <row r="458" spans="2:5">
      <c r="B458" s="314" t="s">
        <v>197</v>
      </c>
      <c r="C458" s="315" t="s">
        <v>988</v>
      </c>
      <c r="D458" s="291" t="s">
        <v>1060</v>
      </c>
      <c r="E458" s="314">
        <v>20</v>
      </c>
    </row>
    <row r="459" spans="2:5">
      <c r="B459" s="316" t="s">
        <v>197</v>
      </c>
      <c r="C459" s="317" t="s">
        <v>989</v>
      </c>
      <c r="D459" s="318" t="s">
        <v>1060</v>
      </c>
      <c r="E459" s="316">
        <v>20</v>
      </c>
    </row>
    <row r="460" spans="2:5">
      <c r="B460" s="314" t="s">
        <v>197</v>
      </c>
      <c r="C460" s="315" t="s">
        <v>990</v>
      </c>
      <c r="D460" s="291" t="s">
        <v>1060</v>
      </c>
      <c r="E460" s="314">
        <v>20</v>
      </c>
    </row>
    <row r="461" spans="2:5">
      <c r="B461" s="316" t="s">
        <v>197</v>
      </c>
      <c r="C461" s="317" t="s">
        <v>991</v>
      </c>
      <c r="D461" s="318" t="s">
        <v>1060</v>
      </c>
      <c r="E461" s="316">
        <v>20</v>
      </c>
    </row>
    <row r="462" spans="2:5">
      <c r="B462" s="314" t="s">
        <v>161</v>
      </c>
      <c r="C462" s="315" t="s">
        <v>162</v>
      </c>
      <c r="D462" s="291" t="s">
        <v>6</v>
      </c>
      <c r="E462" s="314">
        <v>112</v>
      </c>
    </row>
    <row r="463" spans="2:5">
      <c r="B463" s="316" t="s">
        <v>384</v>
      </c>
      <c r="C463" s="317" t="s">
        <v>385</v>
      </c>
      <c r="D463" s="318" t="s">
        <v>1060</v>
      </c>
      <c r="E463" s="316">
        <v>24</v>
      </c>
    </row>
    <row r="464" spans="2:5">
      <c r="B464" s="314" t="s">
        <v>384</v>
      </c>
      <c r="C464" s="315" t="s">
        <v>386</v>
      </c>
      <c r="D464" s="291" t="s">
        <v>1060</v>
      </c>
      <c r="E464" s="314">
        <v>36</v>
      </c>
    </row>
    <row r="465" spans="2:5">
      <c r="B465" s="316" t="s">
        <v>384</v>
      </c>
      <c r="C465" s="317" t="s">
        <v>387</v>
      </c>
      <c r="D465" s="318" t="s">
        <v>1060</v>
      </c>
      <c r="E465" s="316">
        <v>36</v>
      </c>
    </row>
    <row r="466" spans="2:5">
      <c r="B466" s="314" t="s">
        <v>384</v>
      </c>
      <c r="C466" s="315" t="s">
        <v>390</v>
      </c>
      <c r="D466" s="291" t="s">
        <v>1060</v>
      </c>
      <c r="E466" s="314">
        <v>40</v>
      </c>
    </row>
    <row r="467" spans="2:5">
      <c r="B467" s="316" t="s">
        <v>384</v>
      </c>
      <c r="C467" s="317" t="s">
        <v>391</v>
      </c>
      <c r="D467" s="318" t="s">
        <v>1060</v>
      </c>
      <c r="E467" s="316">
        <v>40</v>
      </c>
    </row>
    <row r="468" spans="2:5">
      <c r="B468" s="314" t="s">
        <v>384</v>
      </c>
      <c r="C468" s="315" t="s">
        <v>392</v>
      </c>
      <c r="D468" s="291" t="s">
        <v>1060</v>
      </c>
      <c r="E468" s="314">
        <v>22</v>
      </c>
    </row>
    <row r="469" spans="2:5">
      <c r="B469" s="316" t="s">
        <v>384</v>
      </c>
      <c r="C469" s="317" t="s">
        <v>393</v>
      </c>
      <c r="D469" s="318" t="s">
        <v>1060</v>
      </c>
      <c r="E469" s="316">
        <v>28</v>
      </c>
    </row>
    <row r="470" spans="2:5">
      <c r="B470" s="314" t="s">
        <v>384</v>
      </c>
      <c r="C470" s="315" t="s">
        <v>394</v>
      </c>
      <c r="D470" s="291" t="s">
        <v>1060</v>
      </c>
      <c r="E470" s="314">
        <v>28</v>
      </c>
    </row>
    <row r="471" spans="2:5">
      <c r="B471" s="316" t="s">
        <v>384</v>
      </c>
      <c r="C471" s="317" t="s">
        <v>395</v>
      </c>
      <c r="D471" s="318" t="s">
        <v>1060</v>
      </c>
      <c r="E471" s="316">
        <v>22</v>
      </c>
    </row>
    <row r="472" spans="2:5">
      <c r="B472" s="314" t="s">
        <v>384</v>
      </c>
      <c r="C472" s="315" t="s">
        <v>763</v>
      </c>
      <c r="D472" s="291" t="s">
        <v>1060</v>
      </c>
      <c r="E472" s="314">
        <v>28</v>
      </c>
    </row>
    <row r="473" spans="2:5">
      <c r="B473" s="316" t="s">
        <v>384</v>
      </c>
      <c r="C473" s="317" t="s">
        <v>764</v>
      </c>
      <c r="D473" s="318" t="s">
        <v>1060</v>
      </c>
      <c r="E473" s="316">
        <v>28</v>
      </c>
    </row>
    <row r="474" spans="2:5">
      <c r="B474" s="314" t="s">
        <v>384</v>
      </c>
      <c r="C474" s="315" t="s">
        <v>765</v>
      </c>
      <c r="D474" s="291" t="s">
        <v>1060</v>
      </c>
      <c r="E474" s="314">
        <v>22</v>
      </c>
    </row>
    <row r="475" spans="2:5">
      <c r="B475" s="316" t="s">
        <v>384</v>
      </c>
      <c r="C475" s="317" t="s">
        <v>1009</v>
      </c>
      <c r="D475" s="318" t="s">
        <v>1060</v>
      </c>
      <c r="E475" s="316">
        <v>230</v>
      </c>
    </row>
    <row r="476" spans="2:5">
      <c r="B476" s="314" t="s">
        <v>384</v>
      </c>
      <c r="C476" s="315" t="s">
        <v>1010</v>
      </c>
      <c r="D476" s="291" t="s">
        <v>1060</v>
      </c>
      <c r="E476" s="314">
        <v>230</v>
      </c>
    </row>
    <row r="477" spans="2:5">
      <c r="B477" s="316" t="s">
        <v>384</v>
      </c>
      <c r="C477" s="317" t="s">
        <v>1011</v>
      </c>
      <c r="D477" s="318" t="s">
        <v>1060</v>
      </c>
      <c r="E477" s="316">
        <v>230</v>
      </c>
    </row>
    <row r="478" spans="2:5">
      <c r="B478" s="314" t="s">
        <v>384</v>
      </c>
      <c r="C478" s="315" t="s">
        <v>1012</v>
      </c>
      <c r="D478" s="291" t="s">
        <v>1060</v>
      </c>
      <c r="E478" s="314">
        <v>230</v>
      </c>
    </row>
    <row r="479" spans="2:5">
      <c r="B479" s="316" t="s">
        <v>1128</v>
      </c>
      <c r="C479" s="317" t="s">
        <v>1132</v>
      </c>
      <c r="D479" s="318" t="s">
        <v>1060</v>
      </c>
      <c r="E479" s="316">
        <v>32.200000000000003</v>
      </c>
    </row>
    <row r="480" spans="2:5">
      <c r="B480" s="314" t="s">
        <v>1128</v>
      </c>
      <c r="C480" s="315" t="s">
        <v>1133</v>
      </c>
      <c r="D480" s="291" t="s">
        <v>1060</v>
      </c>
      <c r="E480" s="314">
        <v>14.5</v>
      </c>
    </row>
    <row r="481" spans="2:5">
      <c r="B481" s="316" t="s">
        <v>1128</v>
      </c>
      <c r="C481" s="317" t="s">
        <v>1134</v>
      </c>
      <c r="D481" s="318" t="s">
        <v>1060</v>
      </c>
      <c r="E481" s="316">
        <v>15</v>
      </c>
    </row>
    <row r="482" spans="2:5">
      <c r="B482" s="314" t="s">
        <v>1128</v>
      </c>
      <c r="C482" s="315" t="s">
        <v>1135</v>
      </c>
      <c r="D482" s="291" t="s">
        <v>1060</v>
      </c>
      <c r="E482" s="314">
        <v>15</v>
      </c>
    </row>
  </sheetData>
  <autoFilter ref="B2:E482"/>
  <pageMargins left="0.511811024" right="0.511811024" top="0.78740157499999996" bottom="0.78740157499999996" header="0.31496062000000002" footer="0.3149606200000000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Cadastro</vt:lpstr>
      <vt:lpstr>Apontamentos</vt:lpstr>
      <vt:lpstr>Try Out</vt:lpstr>
      <vt:lpstr>CT</vt:lpstr>
      <vt:lpstr>Componentes_Geral</vt:lpstr>
      <vt:lpstr>Kanban_Geral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Helena Domingues de Souza Rosa</dc:creator>
  <cp:lastModifiedBy>Julio Vitor Vaz da Rocha</cp:lastModifiedBy>
  <cp:lastPrinted>2021-06-01T19:53:43Z</cp:lastPrinted>
  <dcterms:created xsi:type="dcterms:W3CDTF">2017-10-05T17:56:59Z</dcterms:created>
  <dcterms:modified xsi:type="dcterms:W3CDTF">2021-06-25T20:21:59Z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78006314-8948-446b-ab2e-47b53ca76ff2</vt:lpwstr>
  </property>
</Properties>
</file>